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D900A259-9161-4485-8E57-1CC97C24B28F}" xr6:coauthVersionLast="47" xr6:coauthVersionMax="47" xr10:uidLastSave="{00000000-0000-0000-0000-000000000000}"/>
  <bookViews>
    <workbookView xWindow="0" yWindow="660" windowWidth="28800" windowHeight="14820" firstSheet="1" activeTab="1" xr2:uid="{17338EE4-C154-4153-98D8-679E83CAEB4B}"/>
  </bookViews>
  <sheets>
    <sheet name="PivotTable" sheetId="1" r:id="rId1"/>
    <sheet name="Dashboard" sheetId="4" r:id="rId2"/>
  </sheets>
  <definedNames>
    <definedName name="Slicer_Category">#N/A</definedName>
    <definedName name="Slicer_Region">#N/A</definedName>
    <definedName name="Slicer_Segment">#N/A</definedName>
    <definedName name="Slicer_Shipping_Status">#N/A</definedName>
  </definedNames>
  <calcPr calcId="191028"/>
  <pivotCaches>
    <pivotCache cacheId="1085" r:id="rId3"/>
    <pivotCache cacheId="1086" r:id="rId4"/>
    <pivotCache cacheId="1087" r:id="rId5"/>
    <pivotCache cacheId="1088" r:id="rId6"/>
    <pivotCache cacheId="1089" r:id="rId7"/>
    <pivotCache cacheId="1090" r:id="rId8"/>
    <pivotCache cacheId="1091" r:id="rId9"/>
    <pivotCache cacheId="1092" r:id="rId10"/>
    <pivotCache cacheId="1093" r:id="rId11"/>
  </pivotCaches>
  <extLst>
    <ext xmlns:x14="http://schemas.microsoft.com/office/spreadsheetml/2009/9/main" uri="{876F7934-8845-4945-9796-88D515C7AA90}">
      <x14:pivotCaches>
        <pivotCache cacheId="1094"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istOfOrders_b80bbd5c-083e-45ab-a469-8fa30be32386" name="ListOfOrders" connection="Query - ListOfOrders"/>
          <x15:modelTable id="OrderBreakdown_1ce0d2e5-7091-4688-89ce-3cecde2e4150" name="OrderBreakdown" connection="Query - OrderBreakdown"/>
        </x15:modelTables>
        <x15:modelRelationships>
          <x15:modelRelationship fromTable="OrderBreakdown" fromColumn="Order ID" toTable="ListOfOrders" toColumn="Ord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 i="1" l="1"/>
  <c r="O20" i="1"/>
  <c r="N20" i="1"/>
  <c r="M2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51CF3B-DED2-4F1C-BB06-B93992313012}" name="Query - ListOfOrders" description="Connection to the 'ListOfOrders' query in the workbook." type="100" refreshedVersion="8" minRefreshableVersion="5">
    <extLst>
      <ext xmlns:x15="http://schemas.microsoft.com/office/spreadsheetml/2010/11/main" uri="{DE250136-89BD-433C-8126-D09CA5730AF9}">
        <x15:connection id="27856ae6-761b-4a18-8456-062c28049204"/>
      </ext>
    </extLst>
  </connection>
  <connection id="2" xr16:uid="{67516451-00F5-4AAB-A89A-85D007626D44}" name="Query - OrderBreakdown" description="Connection to the 'OrderBreakdown' query in the workbook." type="100" refreshedVersion="8" minRefreshableVersion="5">
    <extLst>
      <ext xmlns:x15="http://schemas.microsoft.com/office/spreadsheetml/2010/11/main" uri="{DE250136-89BD-433C-8126-D09CA5730AF9}">
        <x15:connection id="dbd57b8e-3dda-484a-b45e-fb47a6b6f420">
          <x15:oledbPr connection="Provider=Microsoft.Mashup.OleDb.1;Data Source=$Workbook$;Location=OrderBreakdown;Extended Properties=&quot;&quot;">
            <x15:dbTables>
              <x15:dbTable name="OrderBreakdown"/>
            </x15:dbTables>
          </x15:oledbPr>
        </x15:connection>
      </ext>
    </extLst>
  </connection>
  <connection id="3" xr16:uid="{9894B83D-0ECC-43FD-BB77-42A4A7EE04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<sst xmlns="http://schemas.openxmlformats.org/spreadsheetml/2006/main" count="71" uniqueCount="58">
  <si>
    <t>Geo Analysis</t>
  </si>
  <si>
    <t>Geo</t>
  </si>
  <si>
    <t>Total Sales</t>
  </si>
  <si>
    <t>Central</t>
  </si>
  <si>
    <t>Country</t>
  </si>
  <si>
    <t>City</t>
  </si>
  <si>
    <t>North</t>
  </si>
  <si>
    <t>France</t>
  </si>
  <si>
    <t>Barcelona</t>
  </si>
  <si>
    <t>South</t>
  </si>
  <si>
    <t>Germany</t>
  </si>
  <si>
    <t>Berlin</t>
  </si>
  <si>
    <t>Grand Total</t>
  </si>
  <si>
    <t>Italy</t>
  </si>
  <si>
    <t>Hamburg</t>
  </si>
  <si>
    <t>Spain</t>
  </si>
  <si>
    <t>Lille</t>
  </si>
  <si>
    <t>United Kingdom</t>
  </si>
  <si>
    <t>London</t>
  </si>
  <si>
    <t>Madrid</t>
  </si>
  <si>
    <t>Product &amp; Segment Analysis</t>
  </si>
  <si>
    <t>Marseille</t>
  </si>
  <si>
    <t>segment</t>
  </si>
  <si>
    <t>Paris</t>
  </si>
  <si>
    <t>category / sub-category</t>
  </si>
  <si>
    <t>Consumer</t>
  </si>
  <si>
    <t>Corporate</t>
  </si>
  <si>
    <t>Home Office</t>
  </si>
  <si>
    <t>Rome</t>
  </si>
  <si>
    <t>Furniture</t>
  </si>
  <si>
    <t>Vienna</t>
  </si>
  <si>
    <t>Bookcases</t>
  </si>
  <si>
    <t>Chairs</t>
  </si>
  <si>
    <t>Furnishings</t>
  </si>
  <si>
    <t>Tables</t>
  </si>
  <si>
    <t>Office Supplies</t>
  </si>
  <si>
    <t>Appliances</t>
  </si>
  <si>
    <t>Total Orders</t>
  </si>
  <si>
    <t>Avg Shipping Days</t>
  </si>
  <si>
    <t>Total Profit</t>
  </si>
  <si>
    <t>Art</t>
  </si>
  <si>
    <t>Binders</t>
  </si>
  <si>
    <t>Envelopes</t>
  </si>
  <si>
    <t>Average of Days of Shipping</t>
  </si>
  <si>
    <t>Fasteners</t>
  </si>
  <si>
    <t>Labels</t>
  </si>
  <si>
    <t>Paper</t>
  </si>
  <si>
    <t>Storage</t>
  </si>
  <si>
    <t>Supplies</t>
  </si>
  <si>
    <t>Technology</t>
  </si>
  <si>
    <t>Accessories</t>
  </si>
  <si>
    <t>Copiers</t>
  </si>
  <si>
    <t>Machines</t>
  </si>
  <si>
    <t>Phones</t>
  </si>
  <si>
    <t>Shipping Analysis</t>
  </si>
  <si>
    <t>Shipping Status</t>
  </si>
  <si>
    <t>Late</t>
  </si>
  <si>
    <t>On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</si>
</sst>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0;\(\$#,##0\);\$#,##0"/>
    <numFmt numFmtId="165" formatCode="_(&quot;$&quot;* #,##0_);_(&quot;$&quot;* \(#,##0\);_(&quot;$&quot;* &quot;-&quot;??_);_(@_)"/>
  </numFmts>
  <fonts count="3">
    <font>
      <sz val="12"/>
      <color theme="1"/>
      <name val="Times New Roman"/>
      <family val="2"/>
    </font>
    <font>
      <sz val="12"/>
      <color theme="1"/>
      <name val="Times New Roman"/>
      <family val="2"/>
    </font>
    <font>
      <b/>
      <sz val="14"/>
      <color theme="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rgb="FF999999"/>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 fontId="0" fillId="0" borderId="0" xfId="0" applyNumberFormat="1"/>
    <xf numFmtId="165" fontId="0" fillId="0" borderId="0" xfId="1" applyNumberFormat="1" applyFont="1"/>
    <xf numFmtId="0" fontId="2" fillId="2" borderId="0" xfId="0" applyFont="1" applyFill="1" applyAlignment="1">
      <alignment horizontal="center" vertical="center"/>
    </xf>
    <xf numFmtId="0" fontId="2" fillId="2" borderId="1" xfId="0" applyFont="1" applyFill="1" applyBorder="1" applyAlignment="1">
      <alignment horizontal="center" vertical="center"/>
    </xf>
  </cellXfs>
  <cellStyles count="2">
    <cellStyle name="Currency" xfId="1" builtinId="4"/>
    <cellStyle name="Normal" xfId="0" builtinId="0"/>
  </cellStyles>
  <dxfs count="18">
    <dxf>
      <numFmt numFmtId="164" formatCode="\$#,##0;\(\$#,##0\);\$#,##0"/>
    </dxf>
    <dxf>
      <numFmt numFmtId="164" formatCode="\$#,##0;\(\$#,##0\);\$#,##0"/>
    </dxf>
    <dxf>
      <numFmt numFmtId="1" formatCode="0"/>
    </dxf>
    <dxf>
      <numFmt numFmtId="1" formatCode="0"/>
    </dxf>
    <dxf>
      <numFmt numFmtId="1" formatCode="0"/>
    </dxf>
    <dxf>
      <numFmt numFmtId="164" formatCode="\$#,##0;\(\$#,##0\);\$#,##0"/>
    </dxf>
    <dxf>
      <numFmt numFmtId="164" formatCode="\$#,##0;\(\$#,##0\);\$#,##0"/>
    </dxf>
    <dxf>
      <numFmt numFmtId="0" formatCode="General"/>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numFmt numFmtId="164" formatCode="\$#,##0;\(\$#,##0\);\$#,##0"/>
    </dxf>
    <dxf>
      <font>
        <b/>
        <i val="0"/>
        <sz val="10"/>
        <color theme="8" tint="0.79998168889431442"/>
      </font>
      <fill>
        <patternFill>
          <bgColor theme="6" tint="-0.24994659260841701"/>
        </patternFill>
      </fill>
    </dxf>
    <dxf>
      <fill>
        <patternFill>
          <bgColor theme="8" tint="0.39994506668294322"/>
        </patternFill>
      </fill>
    </dxf>
  </dxfs>
  <tableStyles count="1" defaultTableStyle="TableStyleMedium2" defaultPivotStyle="PivotStyleLight16">
    <tableStyle name="Slicer Style 1" pivot="0" table="0" count="10" xr9:uid="{488C6840-DA46-4D19-B9EE-63D644FFDE8B}">
      <tableStyleElement type="wholeTable" dxfId="17"/>
      <tableStyleElement type="headerRow" dxfId="16"/>
    </tableStyle>
  </tableStyles>
  <extLst>
    <ext xmlns:x14="http://schemas.microsoft.com/office/spreadsheetml/2009/9/main" uri="{46F421CA-312F-682f-3DD2-61675219B42D}">
      <x14:dxfs count="8">
        <dxf>
          <font>
            <sz val="10"/>
            <color theme="9" tint="-0.499984740745262"/>
          </font>
          <fill>
            <patternFill>
              <bgColor theme="5" tint="0.39994506668294322"/>
            </patternFill>
          </fill>
        </dxf>
        <dxf>
          <font>
            <sz val="10"/>
            <color theme="9" tint="-0.499984740745262"/>
          </font>
          <fill>
            <patternFill>
              <bgColor theme="4" tint="0.39994506668294322"/>
            </patternFill>
          </fill>
        </dxf>
        <dxf>
          <font>
            <sz val="10"/>
            <color theme="9" tint="-0.499984740745262"/>
          </font>
          <fill>
            <patternFill>
              <bgColor theme="4" tint="0.39994506668294322"/>
            </patternFill>
          </fill>
        </dxf>
        <dxf>
          <font>
            <sz val="10"/>
            <color theme="9" tint="-0.499984740745262"/>
          </font>
          <fill>
            <patternFill>
              <bgColor theme="5" tint="0.39994506668294322"/>
            </patternFill>
          </fill>
        </dxf>
        <dxf>
          <font>
            <sz val="10"/>
            <color theme="9" tint="-0.499984740745262"/>
          </font>
          <fill>
            <patternFill>
              <bgColor theme="5" tint="0.39994506668294322"/>
            </patternFill>
          </fill>
        </dxf>
        <dxf>
          <font>
            <sz val="10"/>
            <color theme="9" tint="-0.499984740745262"/>
          </font>
          <fill>
            <patternFill>
              <bgColor theme="4" tint="0.39994506668294322"/>
            </patternFill>
          </fill>
        </dxf>
        <dxf>
          <font>
            <sz val="10"/>
            <color theme="9" tint="-0.499984740745262"/>
          </font>
          <fill>
            <patternFill>
              <bgColor theme="4" tint="0.39994506668294322"/>
            </patternFill>
          </fill>
        </dxf>
        <dxf>
          <font>
            <sz val="10"/>
            <color theme="9" tint="-0.499984740745262"/>
          </font>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7.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aredStrings" Target="sharedString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[Project.xlsx]PivotTable!Geo Analysis</c:name>
    <c:fmtId val="5"/>
  </c:pivotSource>
  <c:chart>
    <c:title>
      <c:tx>
        <c:rich>
          <a:bodyPr rot="0" spcFirstLastPara="1" vertOverflow="ellipsis" vert="horz" wrap="square" anchor="ctr" anchorCtr="1"/>
          <a:lstStyle/>
          <a:p>
            <a:pPr algn="ctr" rtl="0">
              <a:defRPr lang="en-US" sz="2000" b="0" i="0" u="none" strike="noStrike" kern="1200" spc="0" baseline="0">
                <a:solidFill>
                  <a:schemeClr val="accent6">
                    <a:lumMod val="50000"/>
                  </a:schemeClr>
                </a:solidFill>
                <a:latin typeface="+mn-lt"/>
                <a:ea typeface="+mn-ea"/>
                <a:cs typeface="+mn-cs"/>
              </a:defRPr>
            </a:pPr>
            <a:r>
              <a:rPr lang="en-US" sz="2000" b="0" i="0" u="none" strike="noStrike" kern="1200" spc="0" baseline="0">
                <a:solidFill>
                  <a:schemeClr val="accent6">
                    <a:lumMod val="50000"/>
                  </a:schemeClr>
                </a:solidFill>
                <a:latin typeface="+mn-lt"/>
                <a:ea typeface="+mn-ea"/>
                <a:cs typeface="+mn-cs"/>
              </a:rPr>
              <a:t>Total Sales by  Region</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0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0"/>
              <a:lstStyle/>
              <a:p>
                <a:pPr algn="ctr">
                  <a:defRPr lang="en-US" sz="10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PivotTable!$A$3:$A$6</c:f>
              <c:strCache>
                <c:ptCount val="3"/>
                <c:pt idx="0">
                  <c:v>Central</c:v>
                </c:pt>
                <c:pt idx="1">
                  <c:v>North</c:v>
                </c:pt>
                <c:pt idx="2">
                  <c:v>South</c:v>
                </c:pt>
              </c:strCache>
            </c:strRef>
          </c:cat>
          <c:val>
            <c:numRef>
              <c:f>PivotTable!$B$3:$B$6</c:f>
              <c:numCache>
                <c:formatCode>\$#,##0;\(\$#,##0\);\$#,##0</c:formatCode>
                <c:ptCount val="3"/>
                <c:pt idx="0">
                  <c:v>5922234.7000000002</c:v>
                </c:pt>
                <c:pt idx="1">
                  <c:v>2396617.7999999998</c:v>
                </c:pt>
                <c:pt idx="2">
                  <c:v>2349611.1</c:v>
                </c:pt>
              </c:numCache>
            </c:numRef>
          </c:val>
          <c:extLst>
            <c:ext xmlns:c16="http://schemas.microsoft.com/office/drawing/2014/chart" uri="{C3380CC4-5D6E-409C-BE32-E72D297353CC}">
              <c16:uniqueId val="{00000000-320B-4632-874A-C0BC9C0F292E}"/>
            </c:ext>
          </c:extLst>
        </c:ser>
        <c:dLbls>
          <c:dLblPos val="outEnd"/>
          <c:showLegendKey val="0"/>
          <c:showVal val="1"/>
          <c:showCatName val="0"/>
          <c:showSerName val="0"/>
          <c:showPercent val="0"/>
          <c:showBubbleSize val="0"/>
        </c:dLbls>
        <c:gapWidth val="182"/>
        <c:axId val="519900784"/>
        <c:axId val="519898384"/>
      </c:barChart>
      <c:catAx>
        <c:axId val="519900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accent6">
                    <a:lumMod val="75000"/>
                  </a:schemeClr>
                </a:solidFill>
                <a:latin typeface="+mn-lt"/>
                <a:ea typeface="+mn-ea"/>
                <a:cs typeface="+mn-cs"/>
              </a:defRPr>
            </a:pPr>
            <a:endParaRPr lang="en-US"/>
          </a:p>
        </c:txPr>
        <c:crossAx val="519898384"/>
        <c:crosses val="autoZero"/>
        <c:auto val="1"/>
        <c:lblAlgn val="ctr"/>
        <c:lblOffset val="100"/>
        <c:noMultiLvlLbl val="0"/>
      </c:catAx>
      <c:valAx>
        <c:axId val="519898384"/>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51990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lgn="ctr">
        <a:defRPr lang="en-US" sz="1000" b="0" i="0" u="none" strike="noStrike" kern="1200" baseline="0">
          <a:solidFill>
            <a:schemeClr val="accent6">
              <a:lumMod val="7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[Project.xlsx]PivotTable!Product &amp; Segment Analysis</c:name>
    <c:fmtId val="5"/>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sz="2000" b="0" i="0" u="none" strike="noStrike" baseline="0">
                <a:solidFill>
                  <a:schemeClr val="accent6">
                    <a:lumMod val="50000"/>
                  </a:schemeClr>
                </a:solidFill>
              </a:rPr>
              <a:t>Product &amp; Segment Analysis</a:t>
            </a:r>
            <a:endParaRPr lang="en-US" sz="2000">
              <a:solidFill>
                <a:schemeClr val="accent6">
                  <a:lumMod val="50000"/>
                </a:schemeClr>
              </a:solidFill>
            </a:endParaRPr>
          </a:p>
        </c:rich>
      </c:tx>
      <c:layout>
        <c:manualLayout>
          <c:xMode val="edge"/>
          <c:yMode val="edge"/>
          <c:x val="0.36124620640609245"/>
          <c:y val="4.10542432195975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PivotTable!$B$11:$B$12</c:f>
              <c:strCache>
                <c:ptCount val="1"/>
                <c:pt idx="0">
                  <c:v>Consumer</c:v>
                </c:pt>
              </c:strCache>
            </c:strRef>
          </c:tx>
          <c:spPr>
            <a:solidFill>
              <a:schemeClr val="accent1"/>
            </a:solidFill>
            <a:ln>
              <a:noFill/>
            </a:ln>
            <a:effectLst/>
          </c:spPr>
          <c:invertIfNegative val="0"/>
          <c:cat>
            <c:multiLvlStrRef>
              <c:f>PivotTable!$A$13:$A$33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PivotTable!$B$13:$B$33</c:f>
              <c:numCache>
                <c:formatCode>\$#,##0;\(\$#,##0\);\$#,##0</c:formatCode>
                <c:ptCount val="17"/>
                <c:pt idx="0">
                  <c:v>712105.1</c:v>
                </c:pt>
                <c:pt idx="1">
                  <c:v>475009.6</c:v>
                </c:pt>
                <c:pt idx="2">
                  <c:v>171538</c:v>
                </c:pt>
                <c:pt idx="3">
                  <c:v>122530.9</c:v>
                </c:pt>
                <c:pt idx="4">
                  <c:v>419362.1</c:v>
                </c:pt>
                <c:pt idx="5">
                  <c:v>352886</c:v>
                </c:pt>
                <c:pt idx="6">
                  <c:v>192874.2</c:v>
                </c:pt>
                <c:pt idx="7">
                  <c:v>83841.399999999994</c:v>
                </c:pt>
                <c:pt idx="8">
                  <c:v>32731.200000000001</c:v>
                </c:pt>
                <c:pt idx="9">
                  <c:v>32970.300000000003</c:v>
                </c:pt>
                <c:pt idx="10">
                  <c:v>91135.9</c:v>
                </c:pt>
                <c:pt idx="11">
                  <c:v>633799.9</c:v>
                </c:pt>
                <c:pt idx="12">
                  <c:v>107243.1</c:v>
                </c:pt>
                <c:pt idx="13">
                  <c:v>310242.3</c:v>
                </c:pt>
                <c:pt idx="14">
                  <c:v>698376.15</c:v>
                </c:pt>
                <c:pt idx="15">
                  <c:v>372070.6</c:v>
                </c:pt>
                <c:pt idx="16">
                  <c:v>739968.15</c:v>
                </c:pt>
              </c:numCache>
            </c:numRef>
          </c:val>
          <c:extLst>
            <c:ext xmlns:c16="http://schemas.microsoft.com/office/drawing/2014/chart" uri="{C3380CC4-5D6E-409C-BE32-E72D297353CC}">
              <c16:uniqueId val="{00000000-2631-4DB8-BB5F-620CA8DBC496}"/>
            </c:ext>
          </c:extLst>
        </c:ser>
        <c:ser>
          <c:idx val="1"/>
          <c:order val="1"/>
          <c:tx>
            <c:strRef>
              <c:f>PivotTable!$C$11:$C$12</c:f>
              <c:strCache>
                <c:ptCount val="1"/>
                <c:pt idx="0">
                  <c:v>Corporate</c:v>
                </c:pt>
              </c:strCache>
            </c:strRef>
          </c:tx>
          <c:spPr>
            <a:solidFill>
              <a:schemeClr val="accent2"/>
            </a:solidFill>
            <a:ln>
              <a:noFill/>
            </a:ln>
            <a:effectLst/>
          </c:spPr>
          <c:invertIfNegative val="0"/>
          <c:cat>
            <c:multiLvlStrRef>
              <c:f>PivotTable!$A$13:$A$33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PivotTable!$C$13:$C$33</c:f>
              <c:numCache>
                <c:formatCode>\$#,##0;\(\$#,##0\);\$#,##0</c:formatCode>
                <c:ptCount val="17"/>
                <c:pt idx="0">
                  <c:v>312552.09999999998</c:v>
                </c:pt>
                <c:pt idx="1">
                  <c:v>239119.2</c:v>
                </c:pt>
                <c:pt idx="2">
                  <c:v>112845.7</c:v>
                </c:pt>
                <c:pt idx="3">
                  <c:v>134519.4</c:v>
                </c:pt>
                <c:pt idx="4">
                  <c:v>400609.6</c:v>
                </c:pt>
                <c:pt idx="5">
                  <c:v>161502.29999999999</c:v>
                </c:pt>
                <c:pt idx="6">
                  <c:v>133224.6</c:v>
                </c:pt>
                <c:pt idx="7">
                  <c:v>51144.9</c:v>
                </c:pt>
                <c:pt idx="8">
                  <c:v>31815.3</c:v>
                </c:pt>
                <c:pt idx="9">
                  <c:v>17244.8</c:v>
                </c:pt>
                <c:pt idx="10">
                  <c:v>43679.9</c:v>
                </c:pt>
                <c:pt idx="11">
                  <c:v>372620.79999999999</c:v>
                </c:pt>
                <c:pt idx="12">
                  <c:v>50348.3</c:v>
                </c:pt>
                <c:pt idx="13">
                  <c:v>241327.7</c:v>
                </c:pt>
                <c:pt idx="14">
                  <c:v>465890.2</c:v>
                </c:pt>
                <c:pt idx="15">
                  <c:v>335142.05</c:v>
                </c:pt>
                <c:pt idx="16">
                  <c:v>369022.75</c:v>
                </c:pt>
              </c:numCache>
            </c:numRef>
          </c:val>
          <c:extLst>
            <c:ext xmlns:c16="http://schemas.microsoft.com/office/drawing/2014/chart" uri="{C3380CC4-5D6E-409C-BE32-E72D297353CC}">
              <c16:uniqueId val="{00000001-2631-4DB8-BB5F-620CA8DBC496}"/>
            </c:ext>
          </c:extLst>
        </c:ser>
        <c:ser>
          <c:idx val="2"/>
          <c:order val="2"/>
          <c:tx>
            <c:strRef>
              <c:f>PivotTable!$D$11:$D$12</c:f>
              <c:strCache>
                <c:ptCount val="1"/>
                <c:pt idx="0">
                  <c:v>Home Office</c:v>
                </c:pt>
              </c:strCache>
            </c:strRef>
          </c:tx>
          <c:spPr>
            <a:solidFill>
              <a:schemeClr val="accent3"/>
            </a:solidFill>
            <a:ln>
              <a:noFill/>
            </a:ln>
            <a:effectLst/>
          </c:spPr>
          <c:invertIfNegative val="0"/>
          <c:cat>
            <c:multiLvlStrRef>
              <c:f>PivotTable!$A$13:$A$33</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PivotTable!$D$13:$D$33</c:f>
              <c:numCache>
                <c:formatCode>\$#,##0;\(\$#,##0\);\$#,##0</c:formatCode>
                <c:ptCount val="17"/>
                <c:pt idx="0">
                  <c:v>225407.7</c:v>
                </c:pt>
                <c:pt idx="1">
                  <c:v>109738</c:v>
                </c:pt>
                <c:pt idx="2">
                  <c:v>46128.1</c:v>
                </c:pt>
                <c:pt idx="3">
                  <c:v>30523.25</c:v>
                </c:pt>
                <c:pt idx="4">
                  <c:v>166500.1</c:v>
                </c:pt>
                <c:pt idx="5">
                  <c:v>101359.3</c:v>
                </c:pt>
                <c:pt idx="6">
                  <c:v>65269.9</c:v>
                </c:pt>
                <c:pt idx="7">
                  <c:v>14819.7</c:v>
                </c:pt>
                <c:pt idx="8">
                  <c:v>12137.2</c:v>
                </c:pt>
                <c:pt idx="9">
                  <c:v>12638.9</c:v>
                </c:pt>
                <c:pt idx="10">
                  <c:v>44593</c:v>
                </c:pt>
                <c:pt idx="11">
                  <c:v>188685</c:v>
                </c:pt>
                <c:pt idx="12">
                  <c:v>40483.599999999999</c:v>
                </c:pt>
                <c:pt idx="13">
                  <c:v>113598.9</c:v>
                </c:pt>
                <c:pt idx="14">
                  <c:v>202829.95</c:v>
                </c:pt>
                <c:pt idx="15">
                  <c:v>97014.05</c:v>
                </c:pt>
                <c:pt idx="16">
                  <c:v>175442.45</c:v>
                </c:pt>
              </c:numCache>
            </c:numRef>
          </c:val>
          <c:extLst>
            <c:ext xmlns:c16="http://schemas.microsoft.com/office/drawing/2014/chart" uri="{C3380CC4-5D6E-409C-BE32-E72D297353CC}">
              <c16:uniqueId val="{00000002-2631-4DB8-BB5F-620CA8DBC496}"/>
            </c:ext>
          </c:extLst>
        </c:ser>
        <c:dLbls>
          <c:showLegendKey val="0"/>
          <c:showVal val="0"/>
          <c:showCatName val="0"/>
          <c:showSerName val="0"/>
          <c:showPercent val="0"/>
          <c:showBubbleSize val="0"/>
        </c:dLbls>
        <c:gapWidth val="150"/>
        <c:overlap val="100"/>
        <c:axId val="316085376"/>
        <c:axId val="316085856"/>
      </c:barChart>
      <c:catAx>
        <c:axId val="31608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accent6">
                    <a:lumMod val="75000"/>
                  </a:schemeClr>
                </a:solidFill>
                <a:latin typeface="+mn-lt"/>
                <a:ea typeface="+mn-ea"/>
                <a:cs typeface="+mn-cs"/>
              </a:defRPr>
            </a:pPr>
            <a:endParaRPr lang="en-US"/>
          </a:p>
        </c:txPr>
        <c:crossAx val="316085856"/>
        <c:crosses val="autoZero"/>
        <c:auto val="1"/>
        <c:lblAlgn val="ctr"/>
        <c:lblOffset val="100"/>
        <c:noMultiLvlLbl val="0"/>
      </c:catAx>
      <c:valAx>
        <c:axId val="316085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6">
                    <a:lumMod val="75000"/>
                  </a:schemeClr>
                </a:solidFill>
                <a:latin typeface="+mn-lt"/>
                <a:ea typeface="+mn-ea"/>
                <a:cs typeface="+mn-cs"/>
              </a:defRPr>
            </a:pPr>
            <a:endParaRPr lang="en-US"/>
          </a:p>
        </c:txPr>
        <c:crossAx val="31608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accent6">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[Project.xlsx]PivotTable!Shipping Analysis</c:name>
    <c:fmtId val="5"/>
  </c:pivotSource>
  <c:chart>
    <c:title>
      <c:tx>
        <c:rich>
          <a:bodyPr rot="0" spcFirstLastPara="1" vertOverflow="ellipsis" vert="horz" wrap="square" anchor="ctr" anchorCtr="1"/>
          <a:lstStyle/>
          <a:p>
            <a:pPr algn="ctr" rtl="0">
              <a:defRPr lang="en-US" sz="2000" b="0" i="0" u="none" strike="noStrike" kern="1200" spc="0" baseline="0">
                <a:solidFill>
                  <a:schemeClr val="accent6">
                    <a:lumMod val="50000"/>
                  </a:schemeClr>
                </a:solidFill>
                <a:latin typeface="+mn-lt"/>
                <a:ea typeface="+mn-ea"/>
                <a:cs typeface="+mn-cs"/>
              </a:defRPr>
            </a:pPr>
            <a:r>
              <a:rPr lang="en-US" sz="2000" b="0" i="0" u="none" strike="noStrike" kern="1200" spc="0" baseline="0">
                <a:solidFill>
                  <a:schemeClr val="accent6">
                    <a:lumMod val="50000"/>
                  </a:schemeClr>
                </a:solidFill>
                <a:latin typeface="+mn-lt"/>
                <a:ea typeface="+mn-ea"/>
                <a:cs typeface="+mn-cs"/>
              </a:rPr>
              <a:t>Shipping Analysis</a:t>
            </a:r>
          </a:p>
        </c:rich>
      </c:tx>
      <c:layout>
        <c:manualLayout>
          <c:xMode val="edge"/>
          <c:yMode val="edge"/>
          <c:x val="0.27939113898187878"/>
          <c:y val="4.1116005873715125E-2"/>
        </c:manualLayout>
      </c:layout>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778443113772448"/>
              <c:y val="-0.1409691629955947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8.7824351297405193E-2"/>
              <c:y val="0.1703377386196769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79-4DB8-A67C-D8510927FB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79-4DB8-A67C-D8510927FBEB}"/>
              </c:ext>
            </c:extLst>
          </c:dPt>
          <c:dLbls>
            <c:dLbl>
              <c:idx val="0"/>
              <c:layout>
                <c:manualLayout>
                  <c:x val="0.10778443113772448"/>
                  <c:y val="-0.140969162995594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79-4DB8-A67C-D8510927FBEB}"/>
                </c:ext>
              </c:extLst>
            </c:dLbl>
            <c:dLbl>
              <c:idx val="1"/>
              <c:layout>
                <c:manualLayout>
                  <c:x val="-8.7824351297405193E-2"/>
                  <c:y val="0.170337738619676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79-4DB8-A67C-D8510927FBE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PivotTable!$A$42:$A$44</c:f>
              <c:strCache>
                <c:ptCount val="2"/>
                <c:pt idx="0">
                  <c:v>Late</c:v>
                </c:pt>
                <c:pt idx="1">
                  <c:v>On Time</c:v>
                </c:pt>
              </c:strCache>
            </c:strRef>
          </c:cat>
          <c:val>
            <c:numRef>
              <c:f>PivotTable!$B$42:$B$44</c:f>
              <c:numCache>
                <c:formatCode>\$#,##0;\(\$#,##0\);\$#,##0</c:formatCode>
                <c:ptCount val="2"/>
                <c:pt idx="0">
                  <c:v>4117567.05</c:v>
                </c:pt>
                <c:pt idx="1">
                  <c:v>6550896.5499999998</c:v>
                </c:pt>
              </c:numCache>
            </c:numRef>
          </c:val>
          <c:extLst>
            <c:ext xmlns:c16="http://schemas.microsoft.com/office/drawing/2014/chart" uri="{C3380CC4-5D6E-409C-BE32-E72D297353CC}">
              <c16:uniqueId val="{00000004-E579-4DB8-A67C-D8510927FBE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accent6">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[Project.xlsx]PivotTable!total sales by country</c:name>
    <c:fmtId val="11"/>
  </c:pivotSource>
  <c:chart>
    <c:title>
      <c:tx>
        <c:rich>
          <a:bodyPr rot="0" spcFirstLastPara="1" vertOverflow="ellipsis" vert="horz" wrap="square" anchor="ctr" anchorCtr="1"/>
          <a:lstStyle/>
          <a:p>
            <a:pPr algn="ctr" rtl="0">
              <a:defRPr lang="en-US" sz="2000" b="0" i="0" u="none" strike="noStrike" kern="1200" spc="0" baseline="0">
                <a:solidFill>
                  <a:schemeClr val="accent6">
                    <a:lumMod val="50000"/>
                  </a:schemeClr>
                </a:solidFill>
                <a:latin typeface="+mn-lt"/>
                <a:ea typeface="+mn-ea"/>
                <a:cs typeface="+mn-cs"/>
              </a:defRPr>
            </a:pPr>
            <a:r>
              <a:rPr lang="en-US" sz="2000" b="0" i="0" u="none" strike="noStrike" kern="1200" spc="0" baseline="0">
                <a:solidFill>
                  <a:schemeClr val="accent6">
                    <a:lumMod val="50000"/>
                  </a:schemeClr>
                </a:solidFill>
                <a:latin typeface="+mn-lt"/>
                <a:ea typeface="+mn-ea"/>
                <a:cs typeface="+mn-cs"/>
              </a:rPr>
              <a:t>Total Sales by Country</a:t>
            </a:r>
          </a:p>
        </c:rich>
      </c:tx>
      <c:layout>
        <c:manualLayout>
          <c:xMode val="edge"/>
          <c:yMode val="edge"/>
          <c:x val="0.31459703340607986"/>
          <c:y val="3.316749585406302E-2"/>
        </c:manualLayout>
      </c:layout>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PivotTable!$H$3</c:f>
              <c:strCache>
                <c:ptCount val="1"/>
                <c:pt idx="0">
                  <c:v>Total</c:v>
                </c:pt>
              </c:strCache>
            </c:strRef>
          </c:tx>
          <c:spPr>
            <a:solidFill>
              <a:schemeClr val="accent3"/>
            </a:solidFill>
            <a:ln>
              <a:noFill/>
            </a:ln>
            <a:effectLst/>
          </c:spPr>
          <c:invertIfNegative val="0"/>
          <c:cat>
            <c:strRef>
              <c:f>PivotTable!$G$4:$G$9</c:f>
              <c:strCache>
                <c:ptCount val="5"/>
                <c:pt idx="0">
                  <c:v>France</c:v>
                </c:pt>
                <c:pt idx="1">
                  <c:v>Germany</c:v>
                </c:pt>
                <c:pt idx="2">
                  <c:v>Italy</c:v>
                </c:pt>
                <c:pt idx="3">
                  <c:v>Spain</c:v>
                </c:pt>
                <c:pt idx="4">
                  <c:v>United Kingdom</c:v>
                </c:pt>
              </c:strCache>
            </c:strRef>
          </c:cat>
          <c:val>
            <c:numRef>
              <c:f>PivotTable!$H$4:$H$9</c:f>
              <c:numCache>
                <c:formatCode>\$#,##0;\(\$#,##0\);\$#,##0</c:formatCode>
                <c:ptCount val="5"/>
                <c:pt idx="0">
                  <c:v>2729841</c:v>
                </c:pt>
                <c:pt idx="1">
                  <c:v>2233458.7999999998</c:v>
                </c:pt>
                <c:pt idx="2">
                  <c:v>1021030</c:v>
                </c:pt>
                <c:pt idx="3">
                  <c:v>1281266.6000000001</c:v>
                </c:pt>
                <c:pt idx="4">
                  <c:v>2078715.7</c:v>
                </c:pt>
              </c:numCache>
            </c:numRef>
          </c:val>
          <c:extLst>
            <c:ext xmlns:c16="http://schemas.microsoft.com/office/drawing/2014/chart" uri="{C3380CC4-5D6E-409C-BE32-E72D297353CC}">
              <c16:uniqueId val="{00000000-853F-4E63-9807-63C8CDD79434}"/>
            </c:ext>
          </c:extLst>
        </c:ser>
        <c:dLbls>
          <c:showLegendKey val="0"/>
          <c:showVal val="0"/>
          <c:showCatName val="0"/>
          <c:showSerName val="0"/>
          <c:showPercent val="0"/>
          <c:showBubbleSize val="0"/>
        </c:dLbls>
        <c:gapWidth val="182"/>
        <c:axId val="665263776"/>
        <c:axId val="665266176"/>
      </c:barChart>
      <c:catAx>
        <c:axId val="66526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accent6">
                    <a:lumMod val="75000"/>
                  </a:schemeClr>
                </a:solidFill>
                <a:latin typeface="+mn-lt"/>
                <a:ea typeface="+mn-ea"/>
                <a:cs typeface="+mn-cs"/>
              </a:defRPr>
            </a:pPr>
            <a:endParaRPr lang="en-US"/>
          </a:p>
        </c:txPr>
        <c:crossAx val="665266176"/>
        <c:crosses val="autoZero"/>
        <c:auto val="1"/>
        <c:lblAlgn val="ctr"/>
        <c:lblOffset val="100"/>
        <c:noMultiLvlLbl val="0"/>
      </c:catAx>
      <c:valAx>
        <c:axId val="6652661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accent6">
                    <a:lumMod val="75000"/>
                  </a:schemeClr>
                </a:solidFill>
                <a:latin typeface="+mn-lt"/>
                <a:ea typeface="+mn-ea"/>
                <a:cs typeface="+mn-cs"/>
              </a:defRPr>
            </a:pPr>
            <a:endParaRPr lang="en-US"/>
          </a:p>
        </c:txPr>
        <c:crossAx val="66526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[Project.xlsx]PivotTable!total sales by city</c:name>
    <c:fmtId val="9"/>
  </c:pivotSource>
  <c:chart>
    <c:title>
      <c:tx>
        <c:rich>
          <a:bodyPr rot="0" spcFirstLastPara="1" vertOverflow="ellipsis" vert="horz" wrap="square" anchor="ctr" anchorCtr="1"/>
          <a:lstStyle/>
          <a:p>
            <a:pPr algn="ctr" rtl="0">
              <a:defRPr lang="en-US" sz="2000" b="0" i="0" u="none" strike="noStrike" kern="1200" spc="0" baseline="0">
                <a:solidFill>
                  <a:schemeClr val="accent6">
                    <a:lumMod val="50000"/>
                  </a:schemeClr>
                </a:solidFill>
                <a:latin typeface="+mn-lt"/>
                <a:ea typeface="+mn-ea"/>
                <a:cs typeface="+mn-cs"/>
              </a:defRPr>
            </a:pPr>
            <a:r>
              <a:rPr lang="en-US" sz="2000" b="0" i="0" u="none" strike="noStrike" kern="1200" spc="0" baseline="0">
                <a:solidFill>
                  <a:schemeClr val="accent6">
                    <a:lumMod val="50000"/>
                  </a:schemeClr>
                </a:solidFill>
                <a:latin typeface="+mn-lt"/>
                <a:ea typeface="+mn-ea"/>
                <a:cs typeface="+mn-cs"/>
              </a:rPr>
              <a:t>Total Sales by City</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PivotTable!$K$3</c:f>
              <c:strCache>
                <c:ptCount val="1"/>
                <c:pt idx="0">
                  <c:v>Total</c:v>
                </c:pt>
              </c:strCache>
            </c:strRef>
          </c:tx>
          <c:spPr>
            <a:solidFill>
              <a:schemeClr val="accent1"/>
            </a:solidFill>
            <a:ln>
              <a:noFill/>
            </a:ln>
            <a:effectLst/>
          </c:spPr>
          <c:invertIfNegative val="0"/>
          <c:cat>
            <c:strRef>
              <c:f>PivotTable!$J$4:$J$14</c:f>
              <c:strCache>
                <c:ptCount val="10"/>
                <c:pt idx="0">
                  <c:v>Barcelona</c:v>
                </c:pt>
                <c:pt idx="1">
                  <c:v>Berlin</c:v>
                </c:pt>
                <c:pt idx="2">
                  <c:v>Hamburg</c:v>
                </c:pt>
                <c:pt idx="3">
                  <c:v>Lille</c:v>
                </c:pt>
                <c:pt idx="4">
                  <c:v>London</c:v>
                </c:pt>
                <c:pt idx="5">
                  <c:v>Madrid</c:v>
                </c:pt>
                <c:pt idx="6">
                  <c:v>Marseille</c:v>
                </c:pt>
                <c:pt idx="7">
                  <c:v>Paris</c:v>
                </c:pt>
                <c:pt idx="8">
                  <c:v>Rome</c:v>
                </c:pt>
                <c:pt idx="9">
                  <c:v>Vienna</c:v>
                </c:pt>
              </c:strCache>
            </c:strRef>
          </c:cat>
          <c:val>
            <c:numRef>
              <c:f>PivotTable!$K$4:$K$14</c:f>
              <c:numCache>
                <c:formatCode>\$#,##0;\(\$#,##0\);\$#,##0</c:formatCode>
                <c:ptCount val="10"/>
                <c:pt idx="0">
                  <c:v>112729.9</c:v>
                </c:pt>
                <c:pt idx="1">
                  <c:v>251515.25</c:v>
                </c:pt>
                <c:pt idx="2">
                  <c:v>112575.1</c:v>
                </c:pt>
                <c:pt idx="3">
                  <c:v>125560.3</c:v>
                </c:pt>
                <c:pt idx="4">
                  <c:v>319804.2</c:v>
                </c:pt>
                <c:pt idx="5">
                  <c:v>225121.2</c:v>
                </c:pt>
                <c:pt idx="6">
                  <c:v>121736.7</c:v>
                </c:pt>
                <c:pt idx="7">
                  <c:v>199258.2</c:v>
                </c:pt>
                <c:pt idx="8">
                  <c:v>111717.5</c:v>
                </c:pt>
                <c:pt idx="9">
                  <c:v>248757</c:v>
                </c:pt>
              </c:numCache>
            </c:numRef>
          </c:val>
          <c:extLst>
            <c:ext xmlns:c16="http://schemas.microsoft.com/office/drawing/2014/chart" uri="{C3380CC4-5D6E-409C-BE32-E72D297353CC}">
              <c16:uniqueId val="{00000000-6611-44CD-859A-905D3B32065C}"/>
            </c:ext>
          </c:extLst>
        </c:ser>
        <c:dLbls>
          <c:showLegendKey val="0"/>
          <c:showVal val="0"/>
          <c:showCatName val="0"/>
          <c:showSerName val="0"/>
          <c:showPercent val="0"/>
          <c:showBubbleSize val="0"/>
        </c:dLbls>
        <c:gapWidth val="219"/>
        <c:overlap val="-27"/>
        <c:axId val="250204720"/>
        <c:axId val="250205200"/>
      </c:barChart>
      <c:catAx>
        <c:axId val="25020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accent6">
                    <a:lumMod val="75000"/>
                  </a:schemeClr>
                </a:solidFill>
                <a:latin typeface="+mn-lt"/>
                <a:ea typeface="+mn-ea"/>
                <a:cs typeface="+mn-cs"/>
              </a:defRPr>
            </a:pPr>
            <a:endParaRPr lang="en-US"/>
          </a:p>
        </c:txPr>
        <c:crossAx val="250205200"/>
        <c:crosses val="autoZero"/>
        <c:auto val="1"/>
        <c:lblAlgn val="ctr"/>
        <c:lblOffset val="100"/>
        <c:noMultiLvlLbl val="0"/>
      </c:catAx>
      <c:valAx>
        <c:axId val="250205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accent6">
                    <a:lumMod val="75000"/>
                  </a:schemeClr>
                </a:solidFill>
                <a:latin typeface="+mn-lt"/>
                <a:ea typeface="+mn-ea"/>
                <a:cs typeface="+mn-cs"/>
              </a:defRPr>
            </a:pPr>
            <a:endParaRPr lang="en-US"/>
          </a:p>
        </c:txPr>
        <c:crossAx val="25020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57150</xdr:rowOff>
    </xdr:from>
    <xdr:to>
      <xdr:col>28</xdr:col>
      <xdr:colOff>657225</xdr:colOff>
      <xdr:row>36</xdr:row>
      <xdr:rowOff>142874</xdr:rowOff>
    </xdr:to>
    <xdr:sp macro="" textlink="">
      <xdr:nvSpPr>
        <xdr:cNvPr id="2" name="Rectangle 1">
          <a:extLst>
            <a:ext uri="{FF2B5EF4-FFF2-40B4-BE49-F238E27FC236}">
              <a16:creationId xmlns:a16="http://schemas.microsoft.com/office/drawing/2014/main" id="{E8B96C48-D40F-58F3-428F-76D729796E4C}"/>
            </a:ext>
          </a:extLst>
        </xdr:cNvPr>
        <xdr:cNvSpPr/>
      </xdr:nvSpPr>
      <xdr:spPr>
        <a:xfrm>
          <a:off x="152400" y="57150"/>
          <a:ext cx="19707225" cy="7286624"/>
        </a:xfrm>
        <a:prstGeom prst="rect">
          <a:avLst/>
        </a:prstGeom>
        <a:solidFill>
          <a:schemeClr val="accent5">
            <a:lumMod val="40000"/>
            <a:lumOff val="60000"/>
          </a:schemeClr>
        </a:solidFill>
        <a:ln>
          <a:solidFill>
            <a:schemeClr val="bg2">
              <a:lumMod val="25000"/>
            </a:schemeClr>
          </a:solidFill>
        </a:ln>
      </xdr:spPr>
      <xdr:style>
        <a:lnRef idx="2">
          <a:schemeClr val="accent6"/>
        </a:lnRef>
        <a:fillRef idx="1003">
          <a:schemeClr val="lt2"/>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200025</xdr:colOff>
      <xdr:row>0</xdr:row>
      <xdr:rowOff>190500</xdr:rowOff>
    </xdr:from>
    <xdr:to>
      <xdr:col>5</xdr:col>
      <xdr:colOff>514350</xdr:colOff>
      <xdr:row>5</xdr:row>
      <xdr:rowOff>0</xdr:rowOff>
    </xdr:to>
    <xdr:sp macro="" textlink="">
      <xdr:nvSpPr>
        <xdr:cNvPr id="3" name="Rectangle: Rounded Corners 2">
          <a:extLst>
            <a:ext uri="{FF2B5EF4-FFF2-40B4-BE49-F238E27FC236}">
              <a16:creationId xmlns:a16="http://schemas.microsoft.com/office/drawing/2014/main" id="{CDF7B8A6-A9C9-4AF1-0FB5-E6C672AB65B5}"/>
            </a:ext>
          </a:extLst>
        </xdr:cNvPr>
        <xdr:cNvSpPr/>
      </xdr:nvSpPr>
      <xdr:spPr>
        <a:xfrm>
          <a:off x="200025" y="190500"/>
          <a:ext cx="3743325" cy="809625"/>
        </a:xfrm>
        <a:prstGeom prst="round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200"/>
        </a:p>
      </xdr:txBody>
    </xdr:sp>
    <xdr:clientData/>
  </xdr:twoCellAnchor>
  <xdr:twoCellAnchor>
    <xdr:from>
      <xdr:col>0</xdr:col>
      <xdr:colOff>266701</xdr:colOff>
      <xdr:row>1</xdr:row>
      <xdr:rowOff>57150</xdr:rowOff>
    </xdr:from>
    <xdr:to>
      <xdr:col>5</xdr:col>
      <xdr:colOff>381001</xdr:colOff>
      <xdr:row>4</xdr:row>
      <xdr:rowOff>47625</xdr:rowOff>
    </xdr:to>
    <xdr:sp macro="" textlink="">
      <xdr:nvSpPr>
        <xdr:cNvPr id="4" name="TextBox 3">
          <a:extLst>
            <a:ext uri="{FF2B5EF4-FFF2-40B4-BE49-F238E27FC236}">
              <a16:creationId xmlns:a16="http://schemas.microsoft.com/office/drawing/2014/main" id="{6476FE94-77DC-69DF-BEF3-7763CF11503D}"/>
            </a:ext>
          </a:extLst>
        </xdr:cNvPr>
        <xdr:cNvSpPr txBox="1"/>
      </xdr:nvSpPr>
      <xdr:spPr>
        <a:xfrm>
          <a:off x="266701" y="257175"/>
          <a:ext cx="354330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defRPr lang="en-US" sz="1000" b="0" i="0" u="none" strike="noStrike" kern="1200" baseline="0">
              <a:solidFill>
                <a:schemeClr val="accent6">
                  <a:lumMod val="75000"/>
                </a:schemeClr>
              </a:solidFill>
              <a:latin typeface="+mn-lt"/>
              <a:ea typeface="+mn-ea"/>
              <a:cs typeface="+mn-cs"/>
            </a:defRPr>
          </a:pPr>
          <a:r>
            <a:rPr lang="en-US" sz="2000" b="1" i="0" u="none" strike="noStrike" kern="1200" baseline="0">
              <a:solidFill>
                <a:schemeClr val="accent6">
                  <a:lumMod val="75000"/>
                </a:schemeClr>
              </a:solidFill>
              <a:latin typeface="+mn-lt"/>
              <a:ea typeface="+mn-ea"/>
              <a:cs typeface="+mn-cs"/>
            </a:rPr>
            <a:t>Sales &amp; Shipping Executive </a:t>
          </a:r>
        </a:p>
      </xdr:txBody>
    </xdr:sp>
    <xdr:clientData/>
  </xdr:twoCellAnchor>
  <xdr:twoCellAnchor>
    <xdr:from>
      <xdr:col>0</xdr:col>
      <xdr:colOff>219075</xdr:colOff>
      <xdr:row>19</xdr:row>
      <xdr:rowOff>180975</xdr:rowOff>
    </xdr:from>
    <xdr:to>
      <xdr:col>8</xdr:col>
      <xdr:colOff>66675</xdr:colOff>
      <xdr:row>32</xdr:row>
      <xdr:rowOff>38101</xdr:rowOff>
    </xdr:to>
    <xdr:graphicFrame macro="">
      <xdr:nvGraphicFramePr>
        <xdr:cNvPr id="5" name="Chart 4">
          <a:extLst>
            <a:ext uri="{FF2B5EF4-FFF2-40B4-BE49-F238E27FC236}">
              <a16:creationId xmlns:a16="http://schemas.microsoft.com/office/drawing/2014/main" id="{302E7A21-BADB-4CEF-BF74-BCDBDDB29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171449</xdr:colOff>
      <xdr:row>0</xdr:row>
      <xdr:rowOff>95250</xdr:rowOff>
    </xdr:from>
    <xdr:to>
      <xdr:col>25</xdr:col>
      <xdr:colOff>609600</xdr:colOff>
      <xdr:row>32</xdr:row>
      <xdr:rowOff>66675</xdr:rowOff>
    </xdr:to>
    <xdr:grpSp>
      <xdr:nvGrpSpPr>
        <xdr:cNvPr id="14" name="Group 13">
          <a:extLst>
            <a:ext uri="{FF2B5EF4-FFF2-40B4-BE49-F238E27FC236}">
              <a16:creationId xmlns:a16="http://schemas.microsoft.com/office/drawing/2014/main" id="{E28480F9-8BD2-2BA1-D4CA-6FC17E593665}"/>
            </a:ext>
          </a:extLst>
        </xdr:cNvPr>
        <xdr:cNvGrpSpPr/>
      </xdr:nvGrpSpPr>
      <xdr:grpSpPr>
        <a:xfrm>
          <a:off x="5657849" y="95250"/>
          <a:ext cx="12096751" cy="6372225"/>
          <a:chOff x="5000624" y="76200"/>
          <a:chExt cx="12096751" cy="6372225"/>
        </a:xfrm>
      </xdr:grpSpPr>
      <xdr:graphicFrame macro="">
        <xdr:nvGraphicFramePr>
          <xdr:cNvPr id="6" name="Chart 5">
            <a:extLst>
              <a:ext uri="{FF2B5EF4-FFF2-40B4-BE49-F238E27FC236}">
                <a16:creationId xmlns:a16="http://schemas.microsoft.com/office/drawing/2014/main" id="{2740250D-D708-42F3-9A7A-474CC2125840}"/>
              </a:ext>
            </a:extLst>
          </xdr:cNvPr>
          <xdr:cNvGraphicFramePr>
            <a:graphicFrameLocks/>
          </xdr:cNvGraphicFramePr>
        </xdr:nvGraphicFramePr>
        <xdr:xfrm>
          <a:off x="5000624" y="2076450"/>
          <a:ext cx="7239001" cy="435292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6">
            <a:extLst>
              <a:ext uri="{FF2B5EF4-FFF2-40B4-BE49-F238E27FC236}">
                <a16:creationId xmlns:a16="http://schemas.microsoft.com/office/drawing/2014/main" id="{05BA6C22-F343-4A85-9A01-5615B2ABBF95}"/>
              </a:ext>
            </a:extLst>
          </xdr:cNvPr>
          <xdr:cNvGraphicFramePr>
            <a:graphicFrameLocks/>
          </xdr:cNvGraphicFramePr>
        </xdr:nvGraphicFramePr>
        <xdr:xfrm>
          <a:off x="12306299" y="76200"/>
          <a:ext cx="4781552" cy="191452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7">
            <a:extLst>
              <a:ext uri="{FF2B5EF4-FFF2-40B4-BE49-F238E27FC236}">
                <a16:creationId xmlns:a16="http://schemas.microsoft.com/office/drawing/2014/main" id="{9CE31A4C-DEE9-4670-A0A7-5762C68D4E2D}"/>
              </a:ext>
            </a:extLst>
          </xdr:cNvPr>
          <xdr:cNvGraphicFramePr>
            <a:graphicFrameLocks/>
          </xdr:cNvGraphicFramePr>
        </xdr:nvGraphicFramePr>
        <xdr:xfrm>
          <a:off x="5010152" y="85724"/>
          <a:ext cx="7210424" cy="191452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9" name="Chart 8">
            <a:extLst>
              <a:ext uri="{FF2B5EF4-FFF2-40B4-BE49-F238E27FC236}">
                <a16:creationId xmlns:a16="http://schemas.microsoft.com/office/drawing/2014/main" id="{D7708FF2-CF3A-45CB-9FE2-9F2647F011B9}"/>
              </a:ext>
            </a:extLst>
          </xdr:cNvPr>
          <xdr:cNvGraphicFramePr>
            <a:graphicFrameLocks/>
          </xdr:cNvGraphicFramePr>
        </xdr:nvGraphicFramePr>
        <xdr:xfrm>
          <a:off x="12296775" y="2085975"/>
          <a:ext cx="4800600" cy="436245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247650</xdr:colOff>
      <xdr:row>5</xdr:row>
      <xdr:rowOff>152400</xdr:rowOff>
    </xdr:from>
    <xdr:to>
      <xdr:col>3</xdr:col>
      <xdr:colOff>19050</xdr:colOff>
      <xdr:row>12</xdr:row>
      <xdr:rowOff>9525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3A13ADB8-274E-4361-BE4F-FFCDD4FC256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7650" y="1152525"/>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12</xdr:row>
      <xdr:rowOff>161925</xdr:rowOff>
    </xdr:from>
    <xdr:to>
      <xdr:col>3</xdr:col>
      <xdr:colOff>9525</xdr:colOff>
      <xdr:row>19</xdr:row>
      <xdr:rowOff>104775</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6553A39E-B73A-404B-86EC-D44E1CE43E1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38125" y="2562225"/>
              <a:ext cx="182880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104775</xdr:colOff>
      <xdr:row>5</xdr:row>
      <xdr:rowOff>171450</xdr:rowOff>
    </xdr:from>
    <xdr:to>
      <xdr:col>5</xdr:col>
      <xdr:colOff>561975</xdr:colOff>
      <xdr:row>12</xdr:row>
      <xdr:rowOff>38100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840880C7-4D72-4E8D-8375-445BE7AF99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62175" y="1171575"/>
              <a:ext cx="182880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85725</xdr:colOff>
      <xdr:row>12</xdr:row>
      <xdr:rowOff>171449</xdr:rowOff>
    </xdr:from>
    <xdr:to>
      <xdr:col>5</xdr:col>
      <xdr:colOff>542925</xdr:colOff>
      <xdr:row>19</xdr:row>
      <xdr:rowOff>76199</xdr:rowOff>
    </xdr:to>
    <mc:AlternateContent xmlns:mc="http://schemas.openxmlformats.org/markup-compatibility/2006" xmlns:a14="http://schemas.microsoft.com/office/drawing/2010/main">
      <mc:Choice Requires="a14">
        <xdr:graphicFrame macro="">
          <xdr:nvGraphicFramePr>
            <xdr:cNvPr id="13" name="Shipping Status">
              <a:extLst>
                <a:ext uri="{FF2B5EF4-FFF2-40B4-BE49-F238E27FC236}">
                  <a16:creationId xmlns:a16="http://schemas.microsoft.com/office/drawing/2014/main" id="{3D319E0C-D605-4025-A716-C7A488B30287}"/>
                </a:ext>
              </a:extLst>
            </xdr:cNvPr>
            <xdr:cNvGraphicFramePr/>
          </xdr:nvGraphicFramePr>
          <xdr:xfrm>
            <a:off x="0" y="0"/>
            <a:ext cx="0" cy="0"/>
          </xdr:xfrm>
          <a:graphic>
            <a:graphicData uri="http://schemas.microsoft.com/office/drawing/2010/slicer">
              <sle:slicer xmlns:sle="http://schemas.microsoft.com/office/drawing/2010/slicer" name="Shipping Status"/>
            </a:graphicData>
          </a:graphic>
        </xdr:graphicFrame>
      </mc:Choice>
      <mc:Fallback xmlns="">
        <xdr:sp macro="" textlink="">
          <xdr:nvSpPr>
            <xdr:cNvPr id="0" name=""/>
            <xdr:cNvSpPr>
              <a:spLocks noTextEdit="1"/>
            </xdr:cNvSpPr>
          </xdr:nvSpPr>
          <xdr:spPr>
            <a:xfrm>
              <a:off x="2143125" y="2571749"/>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685799</xdr:colOff>
      <xdr:row>1</xdr:row>
      <xdr:rowOff>95249</xdr:rowOff>
    </xdr:from>
    <xdr:to>
      <xdr:col>7</xdr:col>
      <xdr:colOff>640079</xdr:colOff>
      <xdr:row>6</xdr:row>
      <xdr:rowOff>64388</xdr:rowOff>
    </xdr:to>
    <xdr:sp macro="" textlink="">
      <xdr:nvSpPr>
        <xdr:cNvPr id="15" name="Rectangle: Rounded Corners 14">
          <a:extLst>
            <a:ext uri="{FF2B5EF4-FFF2-40B4-BE49-F238E27FC236}">
              <a16:creationId xmlns:a16="http://schemas.microsoft.com/office/drawing/2014/main" id="{E3DEE11C-D8E7-60BA-CB8F-DCD228FA4EA7}"/>
            </a:ext>
          </a:extLst>
        </xdr:cNvPr>
        <xdr:cNvSpPr/>
      </xdr:nvSpPr>
      <xdr:spPr>
        <a:xfrm>
          <a:off x="4114799" y="295274"/>
          <a:ext cx="1325880" cy="969264"/>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9525</xdr:colOff>
      <xdr:row>7</xdr:row>
      <xdr:rowOff>28575</xdr:rowOff>
    </xdr:from>
    <xdr:to>
      <xdr:col>7</xdr:col>
      <xdr:colOff>647700</xdr:colOff>
      <xdr:row>12</xdr:row>
      <xdr:rowOff>0</xdr:rowOff>
    </xdr:to>
    <xdr:sp macro="" textlink="">
      <xdr:nvSpPr>
        <xdr:cNvPr id="16" name="Rectangle: Rounded Corners 15">
          <a:extLst>
            <a:ext uri="{FF2B5EF4-FFF2-40B4-BE49-F238E27FC236}">
              <a16:creationId xmlns:a16="http://schemas.microsoft.com/office/drawing/2014/main" id="{82DB6995-7717-4038-A9F6-EE968D8E8BDF}"/>
            </a:ext>
          </a:extLst>
        </xdr:cNvPr>
        <xdr:cNvSpPr/>
      </xdr:nvSpPr>
      <xdr:spPr>
        <a:xfrm>
          <a:off x="4124325" y="1428750"/>
          <a:ext cx="1323975" cy="971550"/>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19050</xdr:colOff>
      <xdr:row>12</xdr:row>
      <xdr:rowOff>171450</xdr:rowOff>
    </xdr:from>
    <xdr:to>
      <xdr:col>7</xdr:col>
      <xdr:colOff>659130</xdr:colOff>
      <xdr:row>17</xdr:row>
      <xdr:rowOff>140589</xdr:rowOff>
    </xdr:to>
    <xdr:sp macro="" textlink="">
      <xdr:nvSpPr>
        <xdr:cNvPr id="17" name="Rectangle: Rounded Corners 16">
          <a:extLst>
            <a:ext uri="{FF2B5EF4-FFF2-40B4-BE49-F238E27FC236}">
              <a16:creationId xmlns:a16="http://schemas.microsoft.com/office/drawing/2014/main" id="{DCA522A9-265E-4AAE-9A2B-D1E3BECF7F00}"/>
            </a:ext>
          </a:extLst>
        </xdr:cNvPr>
        <xdr:cNvSpPr/>
      </xdr:nvSpPr>
      <xdr:spPr>
        <a:xfrm>
          <a:off x="4133850" y="2571750"/>
          <a:ext cx="1325880" cy="969264"/>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85725</xdr:colOff>
      <xdr:row>1</xdr:row>
      <xdr:rowOff>190500</xdr:rowOff>
    </xdr:from>
    <xdr:to>
      <xdr:col>7</xdr:col>
      <xdr:colOff>571500</xdr:colOff>
      <xdr:row>4</xdr:row>
      <xdr:rowOff>9525</xdr:rowOff>
    </xdr:to>
    <xdr:sp macro="" textlink="PivotTable!M19">
      <xdr:nvSpPr>
        <xdr:cNvPr id="18" name="TextBox 17">
          <a:extLst>
            <a:ext uri="{FF2B5EF4-FFF2-40B4-BE49-F238E27FC236}">
              <a16:creationId xmlns:a16="http://schemas.microsoft.com/office/drawing/2014/main" id="{327178D1-D87E-D708-CDB5-4BA0EC885FD0}"/>
            </a:ext>
          </a:extLst>
        </xdr:cNvPr>
        <xdr:cNvSpPr txBox="1"/>
      </xdr:nvSpPr>
      <xdr:spPr>
        <a:xfrm>
          <a:off x="4200525" y="390525"/>
          <a:ext cx="11715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F30B2F-E554-4A14-BEEF-3A0C59612372}" type="TxLink">
            <a:rPr lang="en-US" sz="1400" b="1" i="0" u="none" strike="noStrike">
              <a:solidFill>
                <a:schemeClr val="accent6">
                  <a:lumMod val="20000"/>
                  <a:lumOff val="80000"/>
                </a:schemeClr>
              </a:solidFill>
              <a:latin typeface="Times New Roman"/>
              <a:cs typeface="Times New Roman"/>
            </a:rPr>
            <a:pPr algn="ctr"/>
            <a:t>Total Sales</a:t>
          </a:fld>
          <a:endParaRPr lang="en-US" sz="1200" b="1">
            <a:solidFill>
              <a:schemeClr val="accent6">
                <a:lumMod val="20000"/>
                <a:lumOff val="80000"/>
              </a:schemeClr>
            </a:solidFill>
          </a:endParaRPr>
        </a:p>
      </xdr:txBody>
    </xdr:sp>
    <xdr:clientData/>
  </xdr:twoCellAnchor>
  <xdr:twoCellAnchor>
    <xdr:from>
      <xdr:col>6</xdr:col>
      <xdr:colOff>104775</xdr:colOff>
      <xdr:row>3</xdr:row>
      <xdr:rowOff>152400</xdr:rowOff>
    </xdr:from>
    <xdr:to>
      <xdr:col>7</xdr:col>
      <xdr:colOff>561975</xdr:colOff>
      <xdr:row>5</xdr:row>
      <xdr:rowOff>123825</xdr:rowOff>
    </xdr:to>
    <xdr:sp macro="" textlink="PivotTable!M20">
      <xdr:nvSpPr>
        <xdr:cNvPr id="19" name="TextBox 18">
          <a:extLst>
            <a:ext uri="{FF2B5EF4-FFF2-40B4-BE49-F238E27FC236}">
              <a16:creationId xmlns:a16="http://schemas.microsoft.com/office/drawing/2014/main" id="{9B4F0DF8-0BD2-D2EA-B799-2017AC50FCFC}"/>
            </a:ext>
          </a:extLst>
        </xdr:cNvPr>
        <xdr:cNvSpPr txBox="1"/>
      </xdr:nvSpPr>
      <xdr:spPr>
        <a:xfrm>
          <a:off x="4219575" y="752475"/>
          <a:ext cx="11430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617F26-43D9-402E-91C4-8E6CDFAEB9D7}" type="TxLink">
            <a:rPr lang="en-US" sz="1400" b="1" i="0" u="none" strike="noStrike">
              <a:solidFill>
                <a:schemeClr val="accent6">
                  <a:lumMod val="20000"/>
                  <a:lumOff val="80000"/>
                </a:schemeClr>
              </a:solidFill>
              <a:latin typeface="Times New Roman"/>
              <a:ea typeface="+mn-ea"/>
              <a:cs typeface="Times New Roman"/>
            </a:rPr>
            <a:pPr marL="0" indent="0" algn="ctr"/>
            <a:t> $10,668,464 </a:t>
          </a:fld>
          <a:endParaRPr lang="en-US" sz="1400" b="1" i="0" u="none" strike="noStrike">
            <a:solidFill>
              <a:schemeClr val="accent6">
                <a:lumMod val="20000"/>
                <a:lumOff val="80000"/>
              </a:schemeClr>
            </a:solidFill>
            <a:latin typeface="Times New Roman"/>
            <a:ea typeface="+mn-ea"/>
            <a:cs typeface="Times New Roman"/>
          </a:endParaRPr>
        </a:p>
      </xdr:txBody>
    </xdr:sp>
    <xdr:clientData/>
  </xdr:twoCellAnchor>
  <xdr:twoCellAnchor>
    <xdr:from>
      <xdr:col>6</xdr:col>
      <xdr:colOff>19050</xdr:colOff>
      <xdr:row>7</xdr:row>
      <xdr:rowOff>133349</xdr:rowOff>
    </xdr:from>
    <xdr:to>
      <xdr:col>7</xdr:col>
      <xdr:colOff>628650</xdr:colOff>
      <xdr:row>9</xdr:row>
      <xdr:rowOff>104774</xdr:rowOff>
    </xdr:to>
    <xdr:sp macro="" textlink="PivotTable!N19">
      <xdr:nvSpPr>
        <xdr:cNvPr id="20" name="TextBox 19">
          <a:extLst>
            <a:ext uri="{FF2B5EF4-FFF2-40B4-BE49-F238E27FC236}">
              <a16:creationId xmlns:a16="http://schemas.microsoft.com/office/drawing/2014/main" id="{70C6369B-2825-DDB8-D2A5-7211D40E7541}"/>
            </a:ext>
          </a:extLst>
        </xdr:cNvPr>
        <xdr:cNvSpPr txBox="1"/>
      </xdr:nvSpPr>
      <xdr:spPr>
        <a:xfrm>
          <a:off x="4133850" y="1533524"/>
          <a:ext cx="12954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205687-2B15-470A-A427-8A651D0C40C2}" type="TxLink">
            <a:rPr lang="en-US" sz="1400" b="1" i="0" u="none" strike="noStrike">
              <a:solidFill>
                <a:schemeClr val="accent6">
                  <a:lumMod val="20000"/>
                  <a:lumOff val="80000"/>
                </a:schemeClr>
              </a:solidFill>
              <a:latin typeface="Times New Roman"/>
              <a:ea typeface="+mn-ea"/>
              <a:cs typeface="Times New Roman"/>
            </a:rPr>
            <a:pPr marL="0" indent="0" algn="ctr"/>
            <a:t>Total Orders</a:t>
          </a:fld>
          <a:endParaRPr lang="en-US" sz="1400" b="1" i="0" u="none" strike="noStrike">
            <a:solidFill>
              <a:schemeClr val="accent6">
                <a:lumMod val="20000"/>
                <a:lumOff val="80000"/>
              </a:schemeClr>
            </a:solidFill>
            <a:latin typeface="Times New Roman"/>
            <a:ea typeface="+mn-ea"/>
            <a:cs typeface="Times New Roman"/>
          </a:endParaRPr>
        </a:p>
      </xdr:txBody>
    </xdr:sp>
    <xdr:clientData/>
  </xdr:twoCellAnchor>
  <xdr:twoCellAnchor>
    <xdr:from>
      <xdr:col>6</xdr:col>
      <xdr:colOff>95250</xdr:colOff>
      <xdr:row>9</xdr:row>
      <xdr:rowOff>19051</xdr:rowOff>
    </xdr:from>
    <xdr:to>
      <xdr:col>7</xdr:col>
      <xdr:colOff>552450</xdr:colOff>
      <xdr:row>11</xdr:row>
      <xdr:rowOff>76201</xdr:rowOff>
    </xdr:to>
    <xdr:sp macro="" textlink="PivotTable!N20">
      <xdr:nvSpPr>
        <xdr:cNvPr id="21" name="TextBox 20">
          <a:extLst>
            <a:ext uri="{FF2B5EF4-FFF2-40B4-BE49-F238E27FC236}">
              <a16:creationId xmlns:a16="http://schemas.microsoft.com/office/drawing/2014/main" id="{2ADD1286-0B89-3E15-70C7-4AAB39C31800}"/>
            </a:ext>
          </a:extLst>
        </xdr:cNvPr>
        <xdr:cNvSpPr txBox="1"/>
      </xdr:nvSpPr>
      <xdr:spPr>
        <a:xfrm>
          <a:off x="4210050" y="1819276"/>
          <a:ext cx="1143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3290C1-A6D4-435D-80F1-AC9EB76F58B5}" type="TxLink">
            <a:rPr lang="en-US" sz="1400" b="1" i="0" u="none" strike="noStrike">
              <a:solidFill>
                <a:schemeClr val="accent6">
                  <a:lumMod val="20000"/>
                  <a:lumOff val="80000"/>
                </a:schemeClr>
              </a:solidFill>
              <a:latin typeface="Times New Roman"/>
              <a:ea typeface="+mn-ea"/>
              <a:cs typeface="Times New Roman"/>
            </a:rPr>
            <a:pPr marL="0" indent="0" algn="ctr"/>
            <a:t>4117</a:t>
          </a:fld>
          <a:endParaRPr lang="en-US" sz="1400" b="1" i="0" u="none" strike="noStrike">
            <a:solidFill>
              <a:schemeClr val="accent6">
                <a:lumMod val="20000"/>
                <a:lumOff val="80000"/>
              </a:schemeClr>
            </a:solidFill>
            <a:latin typeface="Times New Roman"/>
            <a:ea typeface="+mn-ea"/>
            <a:cs typeface="Times New Roman"/>
          </a:endParaRPr>
        </a:p>
      </xdr:txBody>
    </xdr:sp>
    <xdr:clientData/>
  </xdr:twoCellAnchor>
  <xdr:twoCellAnchor>
    <xdr:from>
      <xdr:col>6</xdr:col>
      <xdr:colOff>38101</xdr:colOff>
      <xdr:row>13</xdr:row>
      <xdr:rowOff>47625</xdr:rowOff>
    </xdr:from>
    <xdr:to>
      <xdr:col>7</xdr:col>
      <xdr:colOff>657225</xdr:colOff>
      <xdr:row>15</xdr:row>
      <xdr:rowOff>104775</xdr:rowOff>
    </xdr:to>
    <xdr:sp macro="" textlink="PivotTable!P19">
      <xdr:nvSpPr>
        <xdr:cNvPr id="22" name="TextBox 21">
          <a:extLst>
            <a:ext uri="{FF2B5EF4-FFF2-40B4-BE49-F238E27FC236}">
              <a16:creationId xmlns:a16="http://schemas.microsoft.com/office/drawing/2014/main" id="{FEBF058C-D50A-F78A-937E-187C298D125D}"/>
            </a:ext>
          </a:extLst>
        </xdr:cNvPr>
        <xdr:cNvSpPr txBox="1"/>
      </xdr:nvSpPr>
      <xdr:spPr>
        <a:xfrm>
          <a:off x="4152901" y="2647950"/>
          <a:ext cx="1304924"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C027A0-1510-4E95-9889-47D27FE69A87}" type="TxLink">
            <a:rPr lang="en-US" sz="1400" b="1" i="0" u="none" strike="noStrike">
              <a:solidFill>
                <a:schemeClr val="accent6">
                  <a:lumMod val="20000"/>
                  <a:lumOff val="80000"/>
                </a:schemeClr>
              </a:solidFill>
              <a:latin typeface="Times New Roman"/>
              <a:ea typeface="+mn-ea"/>
              <a:cs typeface="Times New Roman"/>
            </a:rPr>
            <a:pPr marL="0" indent="0" algn="ctr"/>
            <a:t>Total Profit</a:t>
          </a:fld>
          <a:endParaRPr lang="en-US" sz="1400" b="1" i="0" u="none" strike="noStrike">
            <a:solidFill>
              <a:schemeClr val="accent6">
                <a:lumMod val="20000"/>
                <a:lumOff val="80000"/>
              </a:schemeClr>
            </a:solidFill>
            <a:latin typeface="Times New Roman"/>
            <a:ea typeface="+mn-ea"/>
            <a:cs typeface="Times New Roman"/>
          </a:endParaRPr>
        </a:p>
      </xdr:txBody>
    </xdr:sp>
    <xdr:clientData/>
  </xdr:twoCellAnchor>
  <xdr:twoCellAnchor>
    <xdr:from>
      <xdr:col>6</xdr:col>
      <xdr:colOff>104775</xdr:colOff>
      <xdr:row>14</xdr:row>
      <xdr:rowOff>133351</xdr:rowOff>
    </xdr:from>
    <xdr:to>
      <xdr:col>7</xdr:col>
      <xdr:colOff>552450</xdr:colOff>
      <xdr:row>17</xdr:row>
      <xdr:rowOff>47626</xdr:rowOff>
    </xdr:to>
    <xdr:sp macro="" textlink="PivotTable!P20">
      <xdr:nvSpPr>
        <xdr:cNvPr id="23" name="TextBox 22">
          <a:extLst>
            <a:ext uri="{FF2B5EF4-FFF2-40B4-BE49-F238E27FC236}">
              <a16:creationId xmlns:a16="http://schemas.microsoft.com/office/drawing/2014/main" id="{BFAC7DC0-EAFA-574E-778D-45B7EE6ADA7D}"/>
            </a:ext>
          </a:extLst>
        </xdr:cNvPr>
        <xdr:cNvSpPr txBox="1"/>
      </xdr:nvSpPr>
      <xdr:spPr>
        <a:xfrm>
          <a:off x="4219575" y="2933701"/>
          <a:ext cx="11334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C78DE8-36BF-4788-87A4-FE5E27DB7789}" type="TxLink">
            <a:rPr lang="en-US" sz="1400" b="1" i="0" u="none" strike="noStrike">
              <a:solidFill>
                <a:schemeClr val="accent6">
                  <a:lumMod val="20000"/>
                  <a:lumOff val="80000"/>
                </a:schemeClr>
              </a:solidFill>
              <a:latin typeface="Times New Roman"/>
              <a:ea typeface="+mn-ea"/>
              <a:cs typeface="Times New Roman"/>
            </a:rPr>
            <a:pPr marL="0" indent="0" algn="ctr"/>
            <a:t> $283,240 </a:t>
          </a:fld>
          <a:endParaRPr lang="en-US" sz="1400" b="1" i="0" u="none" strike="noStrike">
            <a:solidFill>
              <a:schemeClr val="accent6">
                <a:lumMod val="20000"/>
                <a:lumOff val="80000"/>
              </a:schemeClr>
            </a:solidFill>
            <a:latin typeface="Times New Roman"/>
            <a:ea typeface="+mn-ea"/>
            <a:cs typeface="Times New Roman"/>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6935335648" backgroundQuery="1" createdVersion="8" refreshedVersion="8" minRefreshableVersion="3" recordCount="0" supportSubquery="1" supportAdvancedDrill="1" xr:uid="{5A106A90-CF7B-48B8-B789-2DA5E175DD02}">
  <cacheSource type="external" connectionId="3"/>
  <cacheFields count="2">
    <cacheField name="[ListOfOrders].[Country].[Country]" caption="Country" numFmtId="0" hierarchy="5" level="1">
      <sharedItems count="5">
        <s v="France"/>
        <s v="Germany"/>
        <s v="Italy"/>
        <s v="Spain"/>
        <s v="United Kingdom"/>
      </sharedItems>
    </cacheField>
    <cacheField name="[Measures].[Average of Days of Shipping]" caption="Average of Days of Shipping" numFmtId="0" hierarchy="29" level="32767"/>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0"/>
      </fieldsUsage>
    </cacheHierarchy>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Total Sales]" caption="Total Sales" measure="1" displayFolder="" measureGroup="OrderBreakdown" count="0"/>
    <cacheHierarchy uniqueName="[Measures].[Total Profit]" caption="Total Profit" measure="1" displayFolder="" measureGroup="OrderBreakdown" count="0"/>
    <cacheHierarchy uniqueName="[Measures].[Total Orders]" caption="Total Orders" measure="1" displayFolder="" measureGroup="ListOfOrders"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Days of Shipping]" caption="Sum of Days of Shipping" measure="1" displayFolder="" measureGroup="ListOfOrders" count="0" hidden="1">
      <extLst>
        <ext xmlns:x15="http://schemas.microsoft.com/office/spreadsheetml/2010/11/main" uri="{B97F6D7D-B522-45F9-BDA1-12C45D357490}">
          <x15:cacheHierarchy aggregatedColumn="11"/>
        </ext>
      </extLst>
    </cacheHierarchy>
    <cacheHierarchy uniqueName="[Measures].[Average of Days of Shipping]" caption="Average of Days of Shipping" measure="1" displayFolder="" measureGroup="ListOfOrders"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69115046298" backgroundQuery="1" createdVersion="8" refreshedVersion="8" minRefreshableVersion="3" recordCount="0" supportSubquery="1" supportAdvancedDrill="1" xr:uid="{09047AAC-4B2B-43CF-B48C-AA8319850556}">
  <cacheSource type="external" connectionId="3"/>
  <cacheFields count="2">
    <cacheField name="[ListOfOrders].[Country].[Country]" caption="Country" numFmtId="0" hierarchy="5" level="1">
      <sharedItems count="5">
        <s v="France"/>
        <s v="Germany"/>
        <s v="Italy"/>
        <s v="Spain"/>
        <s v="United Kingdom"/>
      </sharedItems>
    </cacheField>
    <cacheField name="[Measures].[Total Profit]" caption="Total Profit" numFmtId="0" hierarchy="23" level="32767"/>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0"/>
      </fieldsUsage>
    </cacheHierarchy>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Total Sales]" caption="Total Sales" measure="1" displayFolder="" measureGroup="OrderBreakdown" count="0"/>
    <cacheHierarchy uniqueName="[Measures].[Total Profit]" caption="Total Profit" measure="1" displayFolder="" measureGroup="OrderBreakdown" count="0" oneField="1">
      <fieldsUsage count="1">
        <fieldUsage x="1"/>
      </fieldsUsage>
    </cacheHierarchy>
    <cacheHierarchy uniqueName="[Measures].[Total Orders]" caption="Total Orders" measure="1" displayFolder="" measureGroup="ListOfOrders"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Days of Shipping]" caption="Sum of Days of Shipping" measure="1" displayFolder="" measureGroup="ListOfOrders" count="0" hidden="1">
      <extLst>
        <ext xmlns:x15="http://schemas.microsoft.com/office/spreadsheetml/2010/11/main" uri="{B97F6D7D-B522-45F9-BDA1-12C45D357490}">
          <x15:cacheHierarchy aggregatedColumn="11"/>
        </ext>
      </extLst>
    </cacheHierarchy>
    <cacheHierarchy uniqueName="[Measures].[Average of Days of Shipping]" caption="Average of Days of Shipping" measure="1" displayFolder="" measureGroup="ListOfOrders" count="0" hidden="1">
      <extLst>
        <ext xmlns:x15="http://schemas.microsoft.com/office/spreadsheetml/2010/11/main" uri="{B97F6D7D-B522-45F9-BDA1-12C45D357490}">
          <x15:cacheHierarchy aggregatedColumn="11"/>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68960763888" backgroundQuery="1" createdVersion="8" refreshedVersion="8" minRefreshableVersion="3" recordCount="0" supportSubquery="1" supportAdvancedDrill="1" xr:uid="{B01A75A7-706C-4C12-B3A4-BB399B806D01}">
  <cacheSource type="external" connectionId="3"/>
  <cacheFields count="2">
    <cacheField name="[ListOfOrders].[Country].[Country]" caption="Country" numFmtId="0" hierarchy="5" level="1">
      <sharedItems count="5">
        <s v="France"/>
        <s v="Germany"/>
        <s v="Italy"/>
        <s v="Spain"/>
        <s v="United Kingdom"/>
      </sharedItems>
    </cacheField>
    <cacheField name="[Measures].[Total Sales]" caption="Total Sales" numFmtId="0" hierarchy="22" level="32767"/>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0"/>
      </fieldsUsage>
    </cacheHierarchy>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Total Sales]" caption="Total Sales" measure="1" displayFolder="" measureGroup="OrderBreakdown" count="0" oneField="1">
      <fieldsUsage count="1">
        <fieldUsage x="1"/>
      </fieldsUsage>
    </cacheHierarchy>
    <cacheHierarchy uniqueName="[Measures].[Total Profit]" caption="Total Profit" measure="1" displayFolder="" measureGroup="OrderBreakdown" count="0"/>
    <cacheHierarchy uniqueName="[Measures].[Total Orders]" caption="Total Orders" measure="1" displayFolder="" measureGroup="ListOfOrders"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Days of Shipping]" caption="Sum of Days of Shipping" measure="1" displayFolder="" measureGroup="ListOfOrders" count="0" hidden="1">
      <extLst>
        <ext xmlns:x15="http://schemas.microsoft.com/office/spreadsheetml/2010/11/main" uri="{B97F6D7D-B522-45F9-BDA1-12C45D357490}">
          <x15:cacheHierarchy aggregatedColumn="11"/>
        </ext>
      </extLst>
    </cacheHierarchy>
    <cacheHierarchy uniqueName="[Measures].[Average of Days of Shipping]" caption="Average of Days of Shipping" measure="1" displayFolder="" measureGroup="ListOfOrders" count="0" hidden="1">
      <extLst>
        <ext xmlns:x15="http://schemas.microsoft.com/office/spreadsheetml/2010/11/main" uri="{B97F6D7D-B522-45F9-BDA1-12C45D357490}">
          <x15:cacheHierarchy aggregatedColumn="11"/>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68713888885" backgroundQuery="1" createdVersion="8" refreshedVersion="8" minRefreshableVersion="3" recordCount="0" supportSubquery="1" supportAdvancedDrill="1" xr:uid="{CBB02A04-A82F-4A4B-8746-FC81F067AEBE}">
  <cacheSource type="external" connectionId="3"/>
  <cacheFields count="2">
    <cacheField name="[ListOfOrders].[Country].[Country]" caption="Country" numFmtId="0" hierarchy="5" level="1">
      <sharedItems count="5">
        <s v="France"/>
        <s v="Germany"/>
        <s v="Italy"/>
        <s v="Spain"/>
        <s v="United Kingdom"/>
      </sharedItems>
    </cacheField>
    <cacheField name="[Measures].[Total Orders]" caption="Total Orders" numFmtId="0" hierarchy="24" level="32767"/>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0"/>
      </fieldsUsage>
    </cacheHierarchy>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Total Sales]" caption="Total Sales" measure="1" displayFolder="" measureGroup="OrderBreakdown" count="0"/>
    <cacheHierarchy uniqueName="[Measures].[Total Profit]" caption="Total Profit" measure="1" displayFolder="" measureGroup="OrderBreakdown" count="0"/>
    <cacheHierarchy uniqueName="[Measures].[Total Orders]" caption="Total Orders" measure="1" displayFolder="" measureGroup="ListOfOrders" count="0" oneField="1">
      <fieldsUsage count="1">
        <fieldUsage x="1"/>
      </fieldsUsage>
    </cacheHierarchy>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Days of Shipping]" caption="Sum of Days of Shipping" measure="1" displayFolder="" measureGroup="ListOfOrders" count="0" hidden="1">
      <extLst>
        <ext xmlns:x15="http://schemas.microsoft.com/office/spreadsheetml/2010/11/main" uri="{B97F6D7D-B522-45F9-BDA1-12C45D357490}">
          <x15:cacheHierarchy aggregatedColumn="11"/>
        </ext>
      </extLst>
    </cacheHierarchy>
    <cacheHierarchy uniqueName="[Measures].[Average of Days of Shipping]" caption="Average of Days of Shipping" measure="1" displayFolder="" measureGroup="ListOfOrders" count="0" hidden="1">
      <extLst>
        <ext xmlns:x15="http://schemas.microsoft.com/office/spreadsheetml/2010/11/main" uri="{B97F6D7D-B522-45F9-BDA1-12C45D357490}">
          <x15:cacheHierarchy aggregatedColumn="11"/>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46080555559" backgroundQuery="1" createdVersion="8" refreshedVersion="8" minRefreshableVersion="3" recordCount="0" supportSubquery="1" supportAdvancedDrill="1" xr:uid="{46D6AA60-6F71-4C9D-8513-6A6C3198E574}">
  <cacheSource type="external" connectionId="3"/>
  <cacheFields count="3">
    <cacheField name="[Measures].[Total Sales]" caption="Total Sales" numFmtId="0" hierarchy="22" level="32767"/>
    <cacheField name="[ListOfOrders].[City].[City]" caption="City" numFmtId="0" hierarchy="4" level="1">
      <sharedItems count="10">
        <s v="Barcelona"/>
        <s v="Berlin"/>
        <s v="Hamburg"/>
        <s v="Lille"/>
        <s v="London"/>
        <s v="Madrid"/>
        <s v="Marseille"/>
        <s v="Paris"/>
        <s v="Rome"/>
        <s v="Vienna"/>
      </sharedItems>
    </cacheField>
    <cacheField name="[ListOfOrders].[Shipping Status].[Shipping Status]" caption="Shipping Status" numFmtId="0" hierarchy="12" level="1">
      <sharedItems containsSemiMixedTypes="0" containsNonDate="0" containsString="0"/>
    </cacheField>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2" memberValueDatatype="130" unbalanced="0">
      <fieldsUsage count="2">
        <fieldUsage x="-1"/>
        <fieldUsage x="1"/>
      </fieldsUsage>
    </cacheHierarchy>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2" memberValueDatatype="130" unbalanced="0">
      <fieldsUsage count="2">
        <fieldUsage x="-1"/>
        <fieldUsage x="2"/>
      </fieldsUsage>
    </cacheHierarchy>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Total Sales]" caption="Total Sales" measure="1" displayFolder="" measureGroup="OrderBreakdown" count="0" oneField="1">
      <fieldsUsage count="1">
        <fieldUsage x="0"/>
      </fieldsUsage>
    </cacheHierarchy>
    <cacheHierarchy uniqueName="[Measures].[Total Profit]" caption="Total Profit" measure="1" displayFolder="" measureGroup="OrderBreakdown" count="0"/>
    <cacheHierarchy uniqueName="[Measures].[Total Orders]" caption="Total Orders" measure="1" displayFolder="" measureGroup="ListOfOrders"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Days of Shipping]" caption="Sum of Days of Shipping" measure="1" displayFolder="" measureGroup="ListOfOrders" count="0" hidden="1">
      <extLst>
        <ext xmlns:x15="http://schemas.microsoft.com/office/spreadsheetml/2010/11/main" uri="{B97F6D7D-B522-45F9-BDA1-12C45D357490}">
          <x15:cacheHierarchy aggregatedColumn="11"/>
        </ext>
      </extLst>
    </cacheHierarchy>
    <cacheHierarchy uniqueName="[Measures].[Average of Days of Shipping]" caption="Average of Days of Shipping" measure="1" displayFolder="" measureGroup="ListOfOrders" count="0" hidden="1">
      <extLst>
        <ext xmlns:x15="http://schemas.microsoft.com/office/spreadsheetml/2010/11/main" uri="{B97F6D7D-B522-45F9-BDA1-12C45D357490}">
          <x15:cacheHierarchy aggregatedColumn="11"/>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46081365744" backgroundQuery="1" createdVersion="8" refreshedVersion="8" minRefreshableVersion="3" recordCount="0" supportSubquery="1" supportAdvancedDrill="1" xr:uid="{7D7E9E2F-682D-4380-AA51-56A8B0F35709}">
  <cacheSource type="external" connectionId="3"/>
  <cacheFields count="3">
    <cacheField name="[Measures].[Total Sales]" caption="Total Sales" numFmtId="0" hierarchy="22" level="32767"/>
    <cacheField name="[ListOfOrders].[Country].[Country]" caption="Country" numFmtId="0" hierarchy="5" level="1">
      <sharedItems count="5">
        <s v="France"/>
        <s v="Germany"/>
        <s v="Italy"/>
        <s v="Spain"/>
        <s v="United Kingdom"/>
      </sharedItems>
    </cacheField>
    <cacheField name="[ListOfOrders].[Shipping Status].[Shipping Status]" caption="Shipping Status" numFmtId="0" hierarchy="12" level="1">
      <sharedItems containsSemiMixedTypes="0" containsNonDate="0" containsString="0"/>
    </cacheField>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1"/>
      </fieldsUsage>
    </cacheHierarchy>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2" memberValueDatatype="130" unbalanced="0">
      <fieldsUsage count="2">
        <fieldUsage x="-1"/>
        <fieldUsage x="2"/>
      </fieldsUsage>
    </cacheHierarchy>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Total Sales]" caption="Total Sales" measure="1" displayFolder="" measureGroup="OrderBreakdown" count="0" oneField="1">
      <fieldsUsage count="1">
        <fieldUsage x="0"/>
      </fieldsUsage>
    </cacheHierarchy>
    <cacheHierarchy uniqueName="[Measures].[Total Profit]" caption="Total Profit" measure="1" displayFolder="" measureGroup="OrderBreakdown" count="0"/>
    <cacheHierarchy uniqueName="[Measures].[Total Orders]" caption="Total Orders" measure="1" displayFolder="" measureGroup="ListOfOrders"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Days of Shipping]" caption="Sum of Days of Shipping" measure="1" displayFolder="" measureGroup="ListOfOrders" count="0" hidden="1">
      <extLst>
        <ext xmlns:x15="http://schemas.microsoft.com/office/spreadsheetml/2010/11/main" uri="{B97F6D7D-B522-45F9-BDA1-12C45D357490}">
          <x15:cacheHierarchy aggregatedColumn="11"/>
        </ext>
      </extLst>
    </cacheHierarchy>
    <cacheHierarchy uniqueName="[Measures].[Average of Days of Shipping]" caption="Average of Days of Shipping" measure="1" displayFolder="" measureGroup="ListOfOrders" count="0" hidden="1">
      <extLst>
        <ext xmlns:x15="http://schemas.microsoft.com/office/spreadsheetml/2010/11/main" uri="{B97F6D7D-B522-45F9-BDA1-12C45D357490}">
          <x15:cacheHierarchy aggregatedColumn="11"/>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46081828706" backgroundQuery="1" createdVersion="8" refreshedVersion="8" minRefreshableVersion="3" recordCount="0" supportSubquery="1" supportAdvancedDrill="1" xr:uid="{07FC8921-4987-4CF7-B774-C574A5C5E585}">
  <cacheSource type="external" connectionId="3"/>
  <cacheFields count="2">
    <cacheField name="[Measures].[Total Sales]" caption="Total Sales" numFmtId="0" hierarchy="22" level="32767"/>
    <cacheField name="[ListOfOrders].[Shipping Status].[Shipping Status]" caption="Shipping Status" numFmtId="0" hierarchy="12" level="1">
      <sharedItems count="2">
        <s v="Late"/>
        <s v="On Time"/>
      </sharedItems>
    </cacheField>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2" memberValueDatatype="130" unbalanced="0">
      <fieldsUsage count="2">
        <fieldUsage x="-1"/>
        <fieldUsage x="1"/>
      </fieldsUsage>
    </cacheHierarchy>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Total Sales]" caption="Total Sales" measure="1" displayFolder="" measureGroup="OrderBreakdown" count="0" oneField="1">
      <fieldsUsage count="1">
        <fieldUsage x="0"/>
      </fieldsUsage>
    </cacheHierarchy>
    <cacheHierarchy uniqueName="[Measures].[Total Profit]" caption="Total Profit" measure="1" displayFolder="" measureGroup="OrderBreakdown" count="0"/>
    <cacheHierarchy uniqueName="[Measures].[Total Orders]" caption="Total Orders" measure="1" displayFolder="" measureGroup="ListOfOrders"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Days of Shipping]" caption="Sum of Days of Shipping" measure="1" displayFolder="" measureGroup="ListOfOrders" count="0" hidden="1">
      <extLst>
        <ext xmlns:x15="http://schemas.microsoft.com/office/spreadsheetml/2010/11/main" uri="{B97F6D7D-B522-45F9-BDA1-12C45D357490}">
          <x15:cacheHierarchy aggregatedColumn="11"/>
        </ext>
      </extLst>
    </cacheHierarchy>
    <cacheHierarchy uniqueName="[Measures].[Average of Days of Shipping]" caption="Average of Days of Shipping" measure="1" displayFolder="" measureGroup="ListOfOrders" count="0" hidden="1">
      <extLst>
        <ext xmlns:x15="http://schemas.microsoft.com/office/spreadsheetml/2010/11/main" uri="{B97F6D7D-B522-45F9-BDA1-12C45D357490}">
          <x15:cacheHierarchy aggregatedColumn="11"/>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46083101853" backgroundQuery="1" createdVersion="8" refreshedVersion="8" minRefreshableVersion="3" recordCount="0" supportSubquery="1" supportAdvancedDrill="1" xr:uid="{B15E5EAB-4477-4A03-9324-3F62F538E980}">
  <cacheSource type="external" connectionId="3"/>
  <cacheFields count="5">
    <cacheField name="[OrderBreakdown].[Category].[Category]" caption="Category" numFmtId="0" hierarchy="19" level="1">
      <sharedItems count="3">
        <s v="Furniture"/>
        <s v="Office Supplies"/>
        <s v="Technology"/>
      </sharedItems>
    </cacheField>
    <cacheField name="[OrderBreakdown].[Sub-Category].[Sub-Category]" caption="Sub-Category" numFmtId="0" hierarchy="20" level="1">
      <sharedItems count="17">
        <s v="Bookcases"/>
        <s v="Chairs"/>
        <s v="Furnishings"/>
        <s v="Tables"/>
        <s v="Appliances"/>
        <s v="Art"/>
        <s v="Binders"/>
        <s v="Envelopes"/>
        <s v="Fasteners"/>
        <s v="Labels"/>
        <s v="Paper"/>
        <s v="Storage"/>
        <s v="Supplies"/>
        <s v="Accessories"/>
        <s v="Copiers"/>
        <s v="Machines"/>
        <s v="Phones"/>
      </sharedItems>
    </cacheField>
    <cacheField name="[ListOfOrders].[Segment].[Segment]" caption="Segment" numFmtId="0" hierarchy="7" level="1">
      <sharedItems count="3">
        <s v="Consumer"/>
        <s v="Corporate"/>
        <s v="Home Office"/>
      </sharedItems>
    </cacheField>
    <cacheField name="[Measures].[Total Sales]" caption="Total Sales" numFmtId="0" hierarchy="22" level="32767"/>
    <cacheField name="[ListOfOrders].[Shipping Status].[Shipping Status]" caption="Shipping Status" numFmtId="0" hierarchy="12" level="1">
      <sharedItems containsSemiMixedTypes="0" containsNonDate="0" containsString="0"/>
    </cacheField>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2" memberValueDatatype="130" unbalanced="0">
      <fieldsUsage count="2">
        <fieldUsage x="-1"/>
        <fieldUsage x="2"/>
      </fieldsUsage>
    </cacheHierarchy>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2" memberValueDatatype="130" unbalanced="0">
      <fieldsUsage count="2">
        <fieldUsage x="-1"/>
        <fieldUsage x="4"/>
      </fieldsUsage>
    </cacheHierarchy>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fieldsUsage count="2">
        <fieldUsage x="-1"/>
        <fieldUsage x="0"/>
      </fieldsUsage>
    </cacheHierarchy>
    <cacheHierarchy uniqueName="[OrderBreakdown].[Sub-Category]" caption="Sub-Category" attribute="1" defaultMemberUniqueName="[OrderBreakdown].[Sub-Category].[All]" allUniqueName="[OrderBreakdown].[Sub-Category].[All]" dimensionUniqueName="[OrderBreakdown]" displayFolder="" count="2" memberValueDatatype="130" unbalanced="0">
      <fieldsUsage count="2">
        <fieldUsage x="-1"/>
        <fieldUsage x="1"/>
      </fieldsUsage>
    </cacheHierarchy>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Total Sales]" caption="Total Sales" measure="1" displayFolder="" measureGroup="OrderBreakdown" count="0" oneField="1">
      <fieldsUsage count="1">
        <fieldUsage x="3"/>
      </fieldsUsage>
    </cacheHierarchy>
    <cacheHierarchy uniqueName="[Measures].[Total Profit]" caption="Total Profit" measure="1" displayFolder="" measureGroup="OrderBreakdown" count="0"/>
    <cacheHierarchy uniqueName="[Measures].[Total Orders]" caption="Total Orders" measure="1" displayFolder="" measureGroup="ListOfOrders"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Days of Shipping]" caption="Sum of Days of Shipping" measure="1" displayFolder="" measureGroup="ListOfOrders" count="0" hidden="1">
      <extLst>
        <ext xmlns:x15="http://schemas.microsoft.com/office/spreadsheetml/2010/11/main" uri="{B97F6D7D-B522-45F9-BDA1-12C45D357490}">
          <x15:cacheHierarchy aggregatedColumn="11"/>
        </ext>
      </extLst>
    </cacheHierarchy>
    <cacheHierarchy uniqueName="[Measures].[Average of Days of Shipping]" caption="Average of Days of Shipping" measure="1" displayFolder="" measureGroup="ListOfOrders" count="0" hidden="1">
      <extLst>
        <ext xmlns:x15="http://schemas.microsoft.com/office/spreadsheetml/2010/11/main" uri="{B97F6D7D-B522-45F9-BDA1-12C45D357490}">
          <x15:cacheHierarchy aggregatedColumn="11"/>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846084027777" backgroundQuery="1" createdVersion="8" refreshedVersion="8" minRefreshableVersion="3" recordCount="0" supportSubquery="1" supportAdvancedDrill="1" xr:uid="{B9904BE0-4497-44ED-967F-934970EEBFA5}">
  <cacheSource type="external" connectionId="3"/>
  <cacheFields count="3">
    <cacheField name="[ListOfOrders].[Region].[Region]" caption="Region" numFmtId="0" hierarchy="6" level="1">
      <sharedItems count="3">
        <s v="Central"/>
        <s v="North"/>
        <s v="South"/>
      </sharedItems>
    </cacheField>
    <cacheField name="[Measures].[Total Sales]" caption="Total Sales" numFmtId="0" hierarchy="22" level="32767"/>
    <cacheField name="[ListOfOrders].[Shipping Status].[Shipping Status]" caption="Shipping Status" numFmtId="0" hierarchy="12" level="1">
      <sharedItems containsSemiMixedTypes="0" containsNonDate="0" containsString="0"/>
    </cacheField>
  </cacheFields>
  <cacheHierarchies count="30">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0"/>
      </fieldsUsage>
    </cacheHierarchy>
    <cacheHierarchy uniqueName="[ListOfOrders].[Segment]" caption="Segment" attribute="1" defaultMemberUniqueName="[ListOfOrders].[Segment].[All]" allUniqueName="[ListOfOrders].[Segment].[All]" dimensionUniqueName="[ListOfOrders]" displayFolder="" count="0"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2" memberValueDatatype="130" unbalanced="0">
      <fieldsUsage count="2">
        <fieldUsage x="-1"/>
        <fieldUsage x="2"/>
      </fieldsUsage>
    </cacheHierarchy>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Total Sales]" caption="Total Sales" measure="1" displayFolder="" measureGroup="OrderBreakdown" count="0" oneField="1">
      <fieldsUsage count="1">
        <fieldUsage x="1"/>
      </fieldsUsage>
    </cacheHierarchy>
    <cacheHierarchy uniqueName="[Measures].[Total Profit]" caption="Total Profit" measure="1" displayFolder="" measureGroup="OrderBreakdown" count="0"/>
    <cacheHierarchy uniqueName="[Measures].[Total Orders]" caption="Total Orders" measure="1" displayFolder="" measureGroup="ListOfOrders"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Days of Shipping]" caption="Sum of Days of Shipping" measure="1" displayFolder="" measureGroup="ListOfOrders" count="0" hidden="1">
      <extLst>
        <ext xmlns:x15="http://schemas.microsoft.com/office/spreadsheetml/2010/11/main" uri="{B97F6D7D-B522-45F9-BDA1-12C45D357490}">
          <x15:cacheHierarchy aggregatedColumn="11"/>
        </ext>
      </extLst>
    </cacheHierarchy>
    <cacheHierarchy uniqueName="[Measures].[Average of Days of Shipping]" caption="Average of Days of Shipping" measure="1" displayFolder="" measureGroup="ListOfOrders" count="0" hidden="1">
      <extLst>
        <ext xmlns:x15="http://schemas.microsoft.com/office/spreadsheetml/2010/11/main" uri="{B97F6D7D-B522-45F9-BDA1-12C45D357490}">
          <x15:cacheHierarchy aggregatedColumn="11"/>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7.710722685188" backgroundQuery="1" createdVersion="3" refreshedVersion="8" minRefreshableVersion="3" recordCount="0" supportSubquery="1" supportAdvancedDrill="1" xr:uid="{E029B342-ACDB-4A76-9013-D83F8454A992}">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First Name]" caption="First Name" attribute="1" defaultMemberUniqueName="[ListOfOrders].[First Name].[All]" allUniqueName="[ListOfOrders].[First Name].[All]" dimensionUniqueName="[ListOfOrders]" displayFolder="" count="0" memberValueDatatype="130" unbalanced="0"/>
    <cacheHierarchy uniqueName="[ListOfOrders].[Last Name]" caption="Last Name" attribute="1" defaultMemberUniqueName="[ListOfOrders].[Last Name].[All]" allUniqueName="[ListOfOrders].[Last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Days of Shipping]" caption="Days of Shipping" attribute="1" defaultMemberUniqueName="[ListOfOrders].[Days of Shipping].[All]" allUniqueName="[ListOfOrders].[Days of Shipping].[All]" dimensionUniqueName="[ListOfOrders]" displayFolder="" count="0" memberValueDatatype="20" unbalanced="0"/>
    <cacheHierarchy uniqueName="[ListOfOrders].[Shipping Status]" caption="Shipping Status" attribute="1" defaultMemberUniqueName="[ListOfOrders].[Shipping Status].[All]" allUniqueName="[ListOfOrders].[Shipping Status].[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Total Invoice]" caption="Total Invoice" attribute="1" defaultMemberUniqueName="[OrderBreakdown].[Total Invoice].[All]" allUniqueName="[OrderBreakdown].[Total Invoice].[All]" dimensionUniqueName="[OrderBreakdown]" displayFolder="" count="0" memberValueDatatype="5" unbalanced="0"/>
    <cacheHierarchy uniqueName="[Measures].[Total Sales]" caption="Total Sales" measure="1" displayFolder="" measureGroup="OrderBreakdown" count="0"/>
    <cacheHierarchy uniqueName="[Measures].[Total Profit]" caption="Total Profit" measure="1" displayFolder="" measureGroup="OrderBreakdown" count="0"/>
    <cacheHierarchy uniqueName="[Measures].[Total Orders]" caption="Total Orders" measure="1" displayFolder="" measureGroup="ListOfOrders"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064752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B865E1-7754-4466-A063-50FC34ED9E10}" name="Shipping Analysis" cacheId="1091" applyNumberFormats="0" applyBorderFormats="0" applyFontFormats="0" applyPatternFormats="0" applyAlignmentFormats="0" applyWidthHeightFormats="1" dataCaption="Values" tag="ab68d8cc-182e-4743-80e8-4642594f2432" updatedVersion="8" minRefreshableVersion="3" useAutoFormatting="1" itemPrintTitles="1" createdVersion="8" indent="0" outline="1" outlineData="1" multipleFieldFilters="0" chartFormat="7" rowHeaderCaption="Shipping Status">
  <location ref="A41:B44"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numFmtId="164"/>
  </dataFields>
  <formats count="1">
    <format dxfId="15">
      <pivotArea outline="0" collapsedLevelsAreSubtotals="1" fieldPosition="0"/>
    </format>
  </formats>
  <chartFormats count="3">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B5DD25-DF20-4C98-8CD0-C879116BE679}" name="Product &amp; Segment Analysis" cacheId="1092" applyNumberFormats="0" applyBorderFormats="0" applyFontFormats="0" applyPatternFormats="0" applyAlignmentFormats="0" applyWidthHeightFormats="1" dataCaption="Values" tag="19270cbf-ab77-410e-893a-9025aaeacace" updatedVersion="8" minRefreshableVersion="3" useAutoFormatting="1" itemPrintTitles="1" createdVersion="8" indent="0" outline="1" outlineData="1" multipleFieldFilters="0" chartFormat="6" rowHeaderCaption="category / sub-category" colHeaderCaption="segment">
  <location ref="A11:E33" firstHeaderRow="1" firstDataRow="2" firstDataCol="1"/>
  <pivotFields count="5">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4">
    <i>
      <x/>
    </i>
    <i>
      <x v="1"/>
    </i>
    <i>
      <x v="2"/>
    </i>
    <i t="grand">
      <x/>
    </i>
  </colItems>
  <dataFields count="1">
    <dataField fld="3" subtotal="count" baseField="0" baseItem="0"/>
  </dataFields>
  <formats count="6">
    <format dxfId="9">
      <pivotArea collapsedLevelsAreSubtotals="1" fieldPosition="0">
        <references count="2">
          <reference field="0" count="1" selected="0">
            <x v="0"/>
          </reference>
          <reference field="1" count="4">
            <x v="0"/>
            <x v="1"/>
            <x v="2"/>
            <x v="3"/>
          </reference>
        </references>
      </pivotArea>
    </format>
    <format dxfId="10">
      <pivotArea collapsedLevelsAreSubtotals="1" fieldPosition="0">
        <references count="1">
          <reference field="0" count="1">
            <x v="1"/>
          </reference>
        </references>
      </pivotArea>
    </format>
    <format dxfId="11">
      <pivotArea collapsedLevelsAreSubtotals="1" fieldPosition="0">
        <references count="2">
          <reference field="0" count="1" selected="0">
            <x v="1"/>
          </reference>
          <reference field="1" count="9">
            <x v="4"/>
            <x v="5"/>
            <x v="6"/>
            <x v="7"/>
            <x v="8"/>
            <x v="9"/>
            <x v="10"/>
            <x v="11"/>
            <x v="12"/>
          </reference>
        </references>
      </pivotArea>
    </format>
    <format dxfId="12">
      <pivotArea collapsedLevelsAreSubtotals="1" fieldPosition="0">
        <references count="1">
          <reference field="0" count="1">
            <x v="2"/>
          </reference>
        </references>
      </pivotArea>
    </format>
    <format dxfId="13">
      <pivotArea collapsedLevelsAreSubtotals="1" fieldPosition="0">
        <references count="2">
          <reference field="0" count="1" selected="0">
            <x v="2"/>
          </reference>
          <reference field="1" count="4">
            <x v="13"/>
            <x v="14"/>
            <x v="15"/>
            <x v="16"/>
          </reference>
        </references>
      </pivotArea>
    </format>
    <format dxfId="14">
      <pivotArea grandRow="1" outline="0" collapsedLevelsAreSubtotals="1" fieldPosition="0"/>
    </format>
  </formats>
  <chartFormats count="3">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20"/>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44409A-AC5C-4236-9027-873957FC5989}" name="Geo Analysis" cacheId="1093" applyNumberFormats="0" applyBorderFormats="0" applyFontFormats="0" applyPatternFormats="0" applyAlignmentFormats="0" applyWidthHeightFormats="1" dataCaption="Values" tag="07fc6f8e-2937-4fe1-91c1-b131580cc98e" updatedVersion="8" minRefreshableVersion="3" useAutoFormatting="1" subtotalHiddenItems="1" itemPrintTitles="1" createdVersion="8" indent="0" outline="1" outlineData="1" multipleFieldFilters="0" chartFormat="6" rowHeaderCaption="Geo">
  <location ref="A2:B6" firstHeaderRow="1" firstDataRow="1" firstDataCol="1"/>
  <pivotFields count="3">
    <pivotField axis="axisRow" allDrilled="1" subtotalTop="0" showAll="0" dataSourceSort="1" defaultSubtotal="0" defaultAttributeDrillState="1">
      <items count="3">
        <item x="0" e="0"/>
        <item x="1" e="0"/>
        <item x="2" e="0"/>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4"/>
  </dataFields>
  <formats count="1">
    <format dxfId="8">
      <pivotArea outline="0" collapsedLevelsAreSubtotals="1" fieldPosition="0"/>
    </format>
  </formats>
  <chartFormats count="1">
    <chartFormat chart="5" format="4"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F47176-2639-4529-A3A9-EEB2304654BF}" name="PivotTable6" cacheId="1088" applyNumberFormats="0" applyBorderFormats="0" applyFontFormats="0" applyPatternFormats="0" applyAlignmentFormats="0" applyWidthHeightFormats="1" dataCaption="Values" tag="8338d07f-db91-48e0-ba05-d192a32fb29f" updatedVersion="8" minRefreshableVersion="3" useAutoFormatting="1" subtotalHiddenItems="1" itemPrintTitles="1" createdVersion="8" indent="0" outline="1" outlineData="1" multipleFieldFilters="0" chartFormat="14" rowHeaderCaption="Country">
  <location ref="G19:G20"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fld="1" subtotal="count" baseField="0" baseItem="0"/>
  </dataFields>
  <formats count="1">
    <format dxfId="7">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61375A-C566-422B-BD11-9FE5EB934CC5}" name="total sales by city" cacheId="1089" applyNumberFormats="0" applyBorderFormats="0" applyFontFormats="0" applyPatternFormats="0" applyAlignmentFormats="0" applyWidthHeightFormats="1" dataCaption="Values" tag="ab54f03e-7a15-46f4-9d30-6ac16ea6be23" updatedVersion="8" minRefreshableVersion="3" useAutoFormatting="1" subtotalHiddenItems="1" itemPrintTitles="1" createdVersion="8" indent="0" outline="1" outlineData="1" multipleFieldFilters="0" chartFormat="12" rowHeaderCaption="City">
  <location ref="J3:K14"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numFmtId="164"/>
  </dataFields>
  <formats count="1">
    <format dxfId="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2">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B22446-983A-4789-95D4-B96F9868B3A8}" name="PivotTable7" cacheId="1087" applyNumberFormats="0" applyBorderFormats="0" applyFontFormats="0" applyPatternFormats="0" applyAlignmentFormats="0" applyWidthHeightFormats="1" dataCaption="Values" tag="0bc7dd87-78db-48a9-a885-bf76733ac225" updatedVersion="8" minRefreshableVersion="3" useAutoFormatting="1" subtotalHiddenItems="1" itemPrintTitles="1" createdVersion="8" indent="0" outline="1" outlineData="1" multipleFieldFilters="0" chartFormat="14" rowHeaderCaption="Country">
  <location ref="J19:J20"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fld="1" subtotal="count" baseField="0" baseItem="0"/>
  </dataFields>
  <formats count="1">
    <format dxfId="5">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71427E-9BC8-423D-A367-1C3BCF9BCEF5}" name="PivotTable9" cacheId="1085" applyNumberFormats="0" applyBorderFormats="0" applyFontFormats="0" applyPatternFormats="0" applyAlignmentFormats="0" applyWidthHeightFormats="1" dataCaption="Values" tag="41370830-4d2d-4f35-ac28-0623b4f0e474" updatedVersion="8" minRefreshableVersion="3" useAutoFormatting="1" subtotalHiddenItems="1" itemPrintTitles="1" createdVersion="8" indent="0" outline="1" outlineData="1" multipleFieldFilters="0" chartFormat="14" rowHeaderCaption="Country">
  <location ref="J22:J23"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Average of Days of Shipping" fld="1" subtotal="average" baseField="0" baseItem="0" numFmtId="1"/>
  </dataFields>
  <formats count="3">
    <format dxfId="2">
      <pivotArea type="all" dataOnly="0" outline="0" fieldPosition="0"/>
    </format>
    <format dxfId="3">
      <pivotArea outline="0" collapsedLevelsAreSubtotals="1" fieldPosition="0"/>
    </format>
    <format dxfId="4">
      <pivotArea dataOnly="0" labelOnly="1" outline="0" axis="axisValues" fieldPosition="0"/>
    </format>
  </formats>
  <pivotHierarchies count="3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Days of Shipping"/>
  </pivotHierarchies>
  <pivotTableStyleInfo name="PivotStyleLight16" showRowHeaders="1" showColHeaders="1" showRowStripes="0" showColStripes="0" showLastColumn="1"/>
  <filters count="1">
    <filter fld="0" type="count" id="1" iMeasureHier="2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EC1B5D-274C-43AA-A4B7-CBD387450829}" name="PivotTable8" cacheId="1086" applyNumberFormats="0" applyBorderFormats="0" applyFontFormats="0" applyPatternFormats="0" applyAlignmentFormats="0" applyWidthHeightFormats="1" dataCaption="Values" tag="db054b90-940a-46f0-bfc5-12dc8963a38a" updatedVersion="8" minRefreshableVersion="3" useAutoFormatting="1" subtotalHiddenItems="1" itemPrintTitles="1" createdVersion="8" indent="0" outline="1" outlineData="1" multipleFieldFilters="0" chartFormat="14" rowHeaderCaption="Country">
  <location ref="H22:H23"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fld="1" subtotal="count" baseField="0" baseItem="0"/>
  </dataFields>
  <formats count="1">
    <format dxfId="1">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40E578-0E1C-416A-8C2E-BA12D047DAE8}" name="total sales by country" cacheId="1090" applyNumberFormats="0" applyBorderFormats="0" applyFontFormats="0" applyPatternFormats="0" applyAlignmentFormats="0" applyWidthHeightFormats="1" dataCaption="Values" tag="db82763d-4b04-43b6-9f09-0ad85537a4b2" updatedVersion="8" minRefreshableVersion="3" useAutoFormatting="1" subtotalHiddenItems="1" itemPrintTitles="1" createdVersion="8" indent="0" outline="1" outlineData="1" multipleFieldFilters="0" chartFormat="14" rowHeaderCaption="Country">
  <location ref="G3:H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numFmtId="164"/>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2">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23B7BB-692D-4245-B1AA-9CE64BBB4A2F}" sourceName="[OrderBreakdown].[Category]">
  <pivotTables>
    <pivotTable tabId="1" name="Geo Analysis"/>
    <pivotTable tabId="1" name="Product &amp; Segment Analysis"/>
    <pivotTable tabId="1" name="Shipping Analysis"/>
    <pivotTable tabId="1" name="total sales by country"/>
    <pivotTable tabId="1" name="total sales by city"/>
    <pivotTable tabId="1" name="PivotTable6"/>
    <pivotTable tabId="1" name="PivotTable7"/>
    <pivotTable tabId="1" name="PivotTable8"/>
    <pivotTable tabId="1" name="PivotTable9"/>
  </pivotTables>
  <data>
    <olap pivotCacheId="406475285">
      <levels count="2">
        <level uniqueName="[OrderBreakdown].[Category].[(All)]" sourceCaption="(All)" count="0"/>
        <level uniqueName="[OrderBreakdown].[Category].[Category]" sourceCaption="Category" count="3">
          <ranges>
            <range startItem="0">
              <i n="[OrderBreakdown].[Category].&amp;[Furniture]" c="Furniture"/>
              <i n="[OrderBreakdown].[Category].&amp;[Office Supplies]" c="Office Supplies"/>
              <i n="[OrderBreakdown].[Category].&amp;[Technology]" c="Technology"/>
            </range>
          </ranges>
        </level>
      </levels>
      <selections count="1">
        <selection n="[OrderBreakdown].[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976953F-8EA1-47A7-BD11-20D7512CFF9D}" sourceName="[ListOfOrders].[Segment]">
  <pivotTables>
    <pivotTable tabId="1" name="Geo Analysis"/>
    <pivotTable tabId="1" name="Product &amp; Segment Analysis"/>
    <pivotTable tabId="1" name="Shipping Analysis"/>
    <pivotTable tabId="1" name="total sales by country"/>
    <pivotTable tabId="1" name="total sales by city"/>
    <pivotTable tabId="1" name="PivotTable6"/>
    <pivotTable tabId="1" name="PivotTable7"/>
    <pivotTable tabId="1" name="PivotTable8"/>
    <pivotTable tabId="1" name="PivotTable9"/>
  </pivotTables>
  <data>
    <olap pivotCacheId="406475285">
      <levels count="2">
        <level uniqueName="[ListOfOrders].[Segment].[(All)]" sourceCaption="(All)" count="0"/>
        <level uniqueName="[ListOfOrders].[Segment].[Segment]" sourceCaption="Segment" count="3">
          <ranges>
            <range startItem="0">
              <i n="[ListOfOrders].[Segment].&amp;[Consumer]" c="Consumer"/>
              <i n="[ListOfOrders].[Segment].&amp;[Corporate]" c="Corporate"/>
              <i n="[ListOfOrders].[Segment].&amp;[Home Office]" c="Home Office"/>
            </range>
          </ranges>
        </level>
      </levels>
      <selections count="1">
        <selection n="[ListOfOrd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530BA4-9DD3-4ECF-9ACB-625658D54FD6}" sourceName="[ListOfOrders].[Region]">
  <pivotTables>
    <pivotTable tabId="1" name="Geo Analysis"/>
    <pivotTable tabId="1" name="Product &amp; Segment Analysis"/>
    <pivotTable tabId="1" name="Shipping Analysis"/>
    <pivotTable tabId="1" name="total sales by country"/>
    <pivotTable tabId="1" name="total sales by city"/>
    <pivotTable tabId="1" name="PivotTable6"/>
    <pivotTable tabId="1" name="PivotTable7"/>
    <pivotTable tabId="1" name="PivotTable8"/>
    <pivotTable tabId="1" name="PivotTable9"/>
  </pivotTables>
  <data>
    <olap pivotCacheId="406475285">
      <levels count="2">
        <level uniqueName="[ListOfOrders].[Region].[(All)]" sourceCaption="(All)" count="0"/>
        <level uniqueName="[ListOfOrders].[Region].[Region]" sourceCaption="Region" count="3">
          <ranges>
            <range startItem="0">
              <i n="[ListOfOrders].[Region].&amp;[Central]" c="Central"/>
              <i n="[ListOfOrders].[Region].&amp;[North]" c="North"/>
              <i n="[ListOfOrders].[Region].&amp;[South]" c="South"/>
            </range>
          </ranges>
        </level>
      </levels>
      <selections count="1">
        <selection n="[ListOfOrders].[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Status" xr10:uid="{1506D05E-312F-4358-8FBE-85B605EF6832}" sourceName="[ListOfOrders].[Shipping Status]">
  <pivotTables>
    <pivotTable tabId="1" name="Geo Analysis"/>
    <pivotTable tabId="1" name="Product &amp; Segment Analysis"/>
    <pivotTable tabId="1" name="Shipping Analysis"/>
    <pivotTable tabId="1" name="total sales by country"/>
    <pivotTable tabId="1" name="total sales by city"/>
    <pivotTable tabId="1" name="PivotTable6"/>
    <pivotTable tabId="1" name="PivotTable7"/>
    <pivotTable tabId="1" name="PivotTable8"/>
    <pivotTable tabId="1" name="PivotTable9"/>
  </pivotTables>
  <data>
    <olap pivotCacheId="406475285">
      <levels count="2">
        <level uniqueName="[ListOfOrders].[Shipping Status].[(All)]" sourceCaption="(All)" count="0"/>
        <level uniqueName="[ListOfOrders].[Shipping Status].[Shipping Status]" sourceCaption="Shipping Status" count="2">
          <ranges>
            <range startItem="0">
              <i n="[ListOfOrders].[Shipping Status].&amp;[Late]" c="Late"/>
              <i n="[ListOfOrders].[Shipping Status].&amp;[On Time]" c="On Time"/>
            </range>
          </ranges>
        </level>
      </levels>
      <selections count="1">
        <selection n="[ListOfOrders].[Shipping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145224B-B988-4BDE-BFC0-0C848714FF9B}" cache="Slicer_Category" caption="Category" level="1" style="Slicer Style 1" rowHeight="257175"/>
  <slicer name="Segment" xr10:uid="{A563D208-B1C1-4B3C-BF0E-A75E3C8A11BA}" cache="Slicer_Segment" caption="Segment" level="1" style="Slicer Style 1" rowHeight="257175"/>
  <slicer name="Region" xr10:uid="{CB126A7F-20FE-4A6E-9CED-697E332A0834}" cache="Slicer_Region" caption="Region" level="1" style="Slicer Style 1" rowHeight="257175"/>
  <slicer name="Shipping Status" xr10:uid="{12A91005-BEB8-4139-BA57-ECE754979F12}" cache="Slicer_Shipping_Status" caption="Shipping Status" level="1" style="Slicer Style 1" rowHeight="257175"/>
</slicers>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5BC6E-5CB7-48DE-8D06-931B644F952E}">
  <dimension ref="A1:P44"/>
  <sheetViews>
    <sheetView workbookViewId="0">
      <selection activeCell="N19" sqref="N19"/>
    </sheetView>
  </sheetViews>
  <sheetFormatPr defaultRowHeight="15.75"/>
  <cols>
    <col min="1" max="1" width="11" bestFit="1" customWidth="1"/>
    <col min="2" max="2" width="10.875" bestFit="1" customWidth="1"/>
    <col min="3" max="3" width="9.875" bestFit="1" customWidth="1"/>
    <col min="4" max="4" width="11.5" bestFit="1" customWidth="1"/>
    <col min="5" max="5" width="11" bestFit="1" customWidth="1"/>
    <col min="7" max="7" width="11.625" bestFit="1" customWidth="1"/>
    <col min="8" max="8" width="10.375" bestFit="1" customWidth="1"/>
    <col min="10" max="10" width="25.125" bestFit="1" customWidth="1"/>
    <col min="11" max="11" width="10.25" bestFit="1" customWidth="1"/>
    <col min="13" max="13" width="14.75" bestFit="1" customWidth="1"/>
    <col min="14" max="14" width="16.875" customWidth="1"/>
    <col min="15" max="15" width="23.125" customWidth="1"/>
    <col min="16" max="16" width="12.125" bestFit="1" customWidth="1"/>
  </cols>
  <sheetData>
    <row r="1" spans="1:11" ht="34.5" customHeight="1">
      <c r="A1" s="7" t="s">
        <v>0</v>
      </c>
      <c r="B1" s="7"/>
    </row>
    <row r="2" spans="1:11">
      <c r="A2" s="1" t="s">
        <v>1</v>
      </c>
      <c r="B2" t="s">
        <v>2</v>
      </c>
    </row>
    <row r="3" spans="1:11">
      <c r="A3" s="2" t="s">
        <v>3</v>
      </c>
      <c r="B3" s="4">
        <v>5922234.7000000002</v>
      </c>
      <c r="G3" s="1" t="s">
        <v>4</v>
      </c>
      <c r="H3" t="s">
        <v>2</v>
      </c>
      <c r="J3" s="1" t="s">
        <v>5</v>
      </c>
      <c r="K3" t="s">
        <v>2</v>
      </c>
    </row>
    <row r="4" spans="1:11">
      <c r="A4" s="2" t="s">
        <v>6</v>
      </c>
      <c r="B4" s="4">
        <v>2396617.7999999998</v>
      </c>
      <c r="G4" s="2" t="s">
        <v>7</v>
      </c>
      <c r="H4" s="4">
        <v>2729841</v>
      </c>
      <c r="J4" s="2" t="s">
        <v>8</v>
      </c>
      <c r="K4" s="4">
        <v>112729.9</v>
      </c>
    </row>
    <row r="5" spans="1:11">
      <c r="A5" s="2" t="s">
        <v>9</v>
      </c>
      <c r="B5" s="4">
        <v>2349611.1</v>
      </c>
      <c r="G5" s="2" t="s">
        <v>10</v>
      </c>
      <c r="H5" s="4">
        <v>2233458.7999999998</v>
      </c>
      <c r="J5" s="2" t="s">
        <v>11</v>
      </c>
      <c r="K5" s="4">
        <v>251515.25</v>
      </c>
    </row>
    <row r="6" spans="1:11">
      <c r="A6" s="2" t="s">
        <v>12</v>
      </c>
      <c r="B6" s="4">
        <v>10668463.6</v>
      </c>
      <c r="G6" s="2" t="s">
        <v>13</v>
      </c>
      <c r="H6" s="4">
        <v>1021030</v>
      </c>
      <c r="J6" s="2" t="s">
        <v>14</v>
      </c>
      <c r="K6" s="4">
        <v>112575.1</v>
      </c>
    </row>
    <row r="7" spans="1:11">
      <c r="G7" s="2" t="s">
        <v>15</v>
      </c>
      <c r="H7" s="4">
        <v>1281266.6000000001</v>
      </c>
      <c r="J7" s="2" t="s">
        <v>16</v>
      </c>
      <c r="K7" s="4">
        <v>125560.3</v>
      </c>
    </row>
    <row r="8" spans="1:11">
      <c r="G8" s="2" t="s">
        <v>17</v>
      </c>
      <c r="H8" s="4">
        <v>2078715.7</v>
      </c>
      <c r="J8" s="2" t="s">
        <v>18</v>
      </c>
      <c r="K8" s="4">
        <v>319804.2</v>
      </c>
    </row>
    <row r="9" spans="1:11">
      <c r="G9" s="2" t="s">
        <v>12</v>
      </c>
      <c r="H9" s="4">
        <v>9344312.0999999996</v>
      </c>
      <c r="J9" s="2" t="s">
        <v>19</v>
      </c>
      <c r="K9" s="4">
        <v>225121.2</v>
      </c>
    </row>
    <row r="10" spans="1:11" ht="21" customHeight="1">
      <c r="A10" s="8" t="s">
        <v>20</v>
      </c>
      <c r="B10" s="8"/>
      <c r="C10" s="8"/>
      <c r="J10" s="2" t="s">
        <v>21</v>
      </c>
      <c r="K10" s="4">
        <v>121736.7</v>
      </c>
    </row>
    <row r="11" spans="1:11">
      <c r="A11" s="1" t="s">
        <v>2</v>
      </c>
      <c r="B11" s="1" t="s">
        <v>22</v>
      </c>
      <c r="J11" s="2" t="s">
        <v>23</v>
      </c>
      <c r="K11" s="4">
        <v>199258.2</v>
      </c>
    </row>
    <row r="12" spans="1:11">
      <c r="A12" s="1" t="s">
        <v>24</v>
      </c>
      <c r="B12" t="s">
        <v>25</v>
      </c>
      <c r="C12" t="s">
        <v>26</v>
      </c>
      <c r="D12" t="s">
        <v>27</v>
      </c>
      <c r="E12" t="s">
        <v>12</v>
      </c>
      <c r="J12" s="2" t="s">
        <v>28</v>
      </c>
      <c r="K12" s="4">
        <v>111717.5</v>
      </c>
    </row>
    <row r="13" spans="1:11">
      <c r="A13" s="2" t="s">
        <v>29</v>
      </c>
      <c r="J13" s="2" t="s">
        <v>30</v>
      </c>
      <c r="K13" s="4">
        <v>248757</v>
      </c>
    </row>
    <row r="14" spans="1:11">
      <c r="A14" s="3" t="s">
        <v>31</v>
      </c>
      <c r="B14" s="4">
        <v>712105.1</v>
      </c>
      <c r="C14" s="4">
        <v>312552.09999999998</v>
      </c>
      <c r="D14" s="4">
        <v>225407.7</v>
      </c>
      <c r="E14" s="4">
        <v>1250064.8999999999</v>
      </c>
      <c r="J14" s="2" t="s">
        <v>12</v>
      </c>
      <c r="K14" s="4">
        <v>1828775.35</v>
      </c>
    </row>
    <row r="15" spans="1:11">
      <c r="A15" s="3" t="s">
        <v>32</v>
      </c>
      <c r="B15" s="4">
        <v>475009.6</v>
      </c>
      <c r="C15" s="4">
        <v>239119.2</v>
      </c>
      <c r="D15" s="4">
        <v>109738</v>
      </c>
      <c r="E15" s="4">
        <v>823866.8</v>
      </c>
    </row>
    <row r="16" spans="1:11">
      <c r="A16" s="3" t="s">
        <v>33</v>
      </c>
      <c r="B16" s="4">
        <v>171538</v>
      </c>
      <c r="C16" s="4">
        <v>112845.7</v>
      </c>
      <c r="D16" s="4">
        <v>46128.1</v>
      </c>
      <c r="E16" s="4">
        <v>330511.8</v>
      </c>
    </row>
    <row r="17" spans="1:16">
      <c r="A17" s="3" t="s">
        <v>34</v>
      </c>
      <c r="B17" s="4">
        <v>122530.9</v>
      </c>
      <c r="C17" s="4">
        <v>134519.4</v>
      </c>
      <c r="D17" s="4">
        <v>30523.25</v>
      </c>
      <c r="E17" s="4">
        <v>287573.55</v>
      </c>
    </row>
    <row r="18" spans="1:16">
      <c r="A18" s="2" t="s">
        <v>35</v>
      </c>
    </row>
    <row r="19" spans="1:16">
      <c r="A19" s="3" t="s">
        <v>36</v>
      </c>
      <c r="B19" s="4">
        <v>419362.1</v>
      </c>
      <c r="C19" s="4">
        <v>400609.6</v>
      </c>
      <c r="D19" s="4">
        <v>166500.1</v>
      </c>
      <c r="E19" s="4">
        <v>986471.8</v>
      </c>
      <c r="G19" t="s">
        <v>37</v>
      </c>
      <c r="J19" t="s">
        <v>2</v>
      </c>
      <c r="M19" t="s">
        <v>2</v>
      </c>
      <c r="N19" t="s">
        <v>37</v>
      </c>
      <c r="O19" t="s">
        <v>38</v>
      </c>
      <c r="P19" t="s">
        <v>39</v>
      </c>
    </row>
    <row r="20" spans="1:16">
      <c r="A20" s="3" t="s">
        <v>40</v>
      </c>
      <c r="B20" s="4">
        <v>352886</v>
      </c>
      <c r="C20" s="4">
        <v>161502.29999999999</v>
      </c>
      <c r="D20" s="4">
        <v>101359.3</v>
      </c>
      <c r="E20" s="4">
        <v>615747.6</v>
      </c>
      <c r="G20">
        <v>4117</v>
      </c>
      <c r="J20" s="4">
        <v>10668463.6</v>
      </c>
      <c r="M20" s="6">
        <f>GETPIVOTDATA("[Measures].[Total Sales]",$J$19)</f>
        <v>10668463.6</v>
      </c>
      <c r="N20">
        <f>GETPIVOTDATA("[Measures].[Total Orders]",$G$19)</f>
        <v>4117</v>
      </c>
      <c r="O20" s="5">
        <f>GETPIVOTDATA("[Measures].[Average of Days of Shipping]",$J$22)</f>
        <v>3.9681807141122176</v>
      </c>
      <c r="P20" s="6">
        <f>GETPIVOTDATA("[Measures].[Total Profit]",$H$22)</f>
        <v>283240</v>
      </c>
    </row>
    <row r="21" spans="1:16">
      <c r="A21" s="3" t="s">
        <v>41</v>
      </c>
      <c r="B21" s="4">
        <v>192874.2</v>
      </c>
      <c r="C21" s="4">
        <v>133224.6</v>
      </c>
      <c r="D21" s="4">
        <v>65269.9</v>
      </c>
      <c r="E21" s="4">
        <v>391368.7</v>
      </c>
    </row>
    <row r="22" spans="1:16">
      <c r="A22" s="3" t="s">
        <v>42</v>
      </c>
      <c r="B22" s="4">
        <v>83841.399999999994</v>
      </c>
      <c r="C22" s="4">
        <v>51144.9</v>
      </c>
      <c r="D22" s="4">
        <v>14819.7</v>
      </c>
      <c r="E22" s="4">
        <v>149806</v>
      </c>
      <c r="H22" t="s">
        <v>39</v>
      </c>
      <c r="J22" s="5" t="s">
        <v>43</v>
      </c>
    </row>
    <row r="23" spans="1:16">
      <c r="A23" s="3" t="s">
        <v>44</v>
      </c>
      <c r="B23" s="4">
        <v>32731.200000000001</v>
      </c>
      <c r="C23" s="4">
        <v>31815.3</v>
      </c>
      <c r="D23" s="4">
        <v>12137.2</v>
      </c>
      <c r="E23" s="4">
        <v>76683.7</v>
      </c>
      <c r="H23" s="4">
        <v>283240</v>
      </c>
      <c r="J23" s="5">
        <v>3.9681807141122176</v>
      </c>
    </row>
    <row r="24" spans="1:16">
      <c r="A24" s="3" t="s">
        <v>45</v>
      </c>
      <c r="B24" s="4">
        <v>32970.300000000003</v>
      </c>
      <c r="C24" s="4">
        <v>17244.8</v>
      </c>
      <c r="D24" s="4">
        <v>12638.9</v>
      </c>
      <c r="E24" s="4">
        <v>62854</v>
      </c>
    </row>
    <row r="25" spans="1:16">
      <c r="A25" s="3" t="s">
        <v>46</v>
      </c>
      <c r="B25" s="4">
        <v>91135.9</v>
      </c>
      <c r="C25" s="4">
        <v>43679.9</v>
      </c>
      <c r="D25" s="4">
        <v>44593</v>
      </c>
      <c r="E25" s="4">
        <v>179408.8</v>
      </c>
    </row>
    <row r="26" spans="1:16">
      <c r="A26" s="3" t="s">
        <v>47</v>
      </c>
      <c r="B26" s="4">
        <v>633799.9</v>
      </c>
      <c r="C26" s="4">
        <v>372620.79999999999</v>
      </c>
      <c r="D26" s="4">
        <v>188685</v>
      </c>
      <c r="E26" s="4">
        <v>1195105.7</v>
      </c>
    </row>
    <row r="27" spans="1:16">
      <c r="A27" s="3" t="s">
        <v>48</v>
      </c>
      <c r="B27" s="4">
        <v>107243.1</v>
      </c>
      <c r="C27" s="4">
        <v>50348.3</v>
      </c>
      <c r="D27" s="4">
        <v>40483.599999999999</v>
      </c>
      <c r="E27" s="4">
        <v>198075</v>
      </c>
    </row>
    <row r="28" spans="1:16">
      <c r="A28" s="2" t="s">
        <v>49</v>
      </c>
    </row>
    <row r="29" spans="1:16">
      <c r="A29" s="3" t="s">
        <v>50</v>
      </c>
      <c r="B29" s="4">
        <v>310242.3</v>
      </c>
      <c r="C29" s="4">
        <v>241327.7</v>
      </c>
      <c r="D29" s="4">
        <v>113598.9</v>
      </c>
      <c r="E29" s="4">
        <v>665168.9</v>
      </c>
    </row>
    <row r="30" spans="1:16">
      <c r="A30" s="3" t="s">
        <v>51</v>
      </c>
      <c r="B30" s="4">
        <v>698376.15</v>
      </c>
      <c r="C30" s="4">
        <v>465890.2</v>
      </c>
      <c r="D30" s="4">
        <v>202829.95</v>
      </c>
      <c r="E30" s="4">
        <v>1367096.3</v>
      </c>
    </row>
    <row r="31" spans="1:16">
      <c r="A31" s="3" t="s">
        <v>52</v>
      </c>
      <c r="B31" s="4">
        <v>372070.6</v>
      </c>
      <c r="C31" s="4">
        <v>335142.05</v>
      </c>
      <c r="D31" s="4">
        <v>97014.05</v>
      </c>
      <c r="E31" s="4">
        <v>804226.7</v>
      </c>
    </row>
    <row r="32" spans="1:16">
      <c r="A32" s="3" t="s">
        <v>53</v>
      </c>
      <c r="B32" s="4">
        <v>739968.15</v>
      </c>
      <c r="C32" s="4">
        <v>369022.75</v>
      </c>
      <c r="D32" s="4">
        <v>175442.45</v>
      </c>
      <c r="E32" s="4">
        <v>1284433.3500000001</v>
      </c>
    </row>
    <row r="33" spans="1:5">
      <c r="A33" s="2" t="s">
        <v>12</v>
      </c>
      <c r="B33" s="4">
        <v>5548684.9000000004</v>
      </c>
      <c r="C33" s="4">
        <v>3472609.6</v>
      </c>
      <c r="D33" s="4">
        <v>1647169.1</v>
      </c>
      <c r="E33" s="4">
        <v>10668463.6</v>
      </c>
    </row>
    <row r="40" spans="1:5" ht="18.75">
      <c r="A40" s="8" t="s">
        <v>54</v>
      </c>
      <c r="B40" s="8"/>
    </row>
    <row r="41" spans="1:5">
      <c r="A41" s="1" t="s">
        <v>55</v>
      </c>
      <c r="B41" t="s">
        <v>2</v>
      </c>
    </row>
    <row r="42" spans="1:5">
      <c r="A42" s="2" t="s">
        <v>56</v>
      </c>
      <c r="B42" s="4">
        <v>4117567.05</v>
      </c>
    </row>
    <row r="43" spans="1:5">
      <c r="A43" s="2" t="s">
        <v>57</v>
      </c>
      <c r="B43" s="4">
        <v>6550896.5499999998</v>
      </c>
    </row>
    <row r="44" spans="1:5">
      <c r="A44" s="2" t="s">
        <v>12</v>
      </c>
      <c r="B44" s="4">
        <v>10668463.6</v>
      </c>
    </row>
  </sheetData>
  <mergeCells count="3">
    <mergeCell ref="A1:B1"/>
    <mergeCell ref="A10:C10"/>
    <mergeCell ref="A40:B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D9A3-CFE9-43F5-9B4D-E38441613EC5}">
  <dimension ref="A1"/>
  <sheetViews>
    <sheetView showGridLines="0" tabSelected="1" workbookViewId="0"/>
  </sheetViews>
  <sheetFormatPr defaultRowHeight="15.7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AF1997BB-FE17-47D6-9D4D-64CF31F3EF15}"/>
</file>

<file path=customXml/itemProps2.xml><?xml version="1.0" encoding="utf-8"?>
<ds:datastoreItem xmlns:ds="http://schemas.openxmlformats.org/officeDocument/2006/customXml" ds:itemID="{118B4B4B-CD95-46FC-8C53-3C67774C567F}"/>
</file>

<file path=customXml/itemProps3.xml><?xml version="1.0" encoding="utf-8"?>
<ds:datastoreItem xmlns:ds="http://schemas.openxmlformats.org/officeDocument/2006/customXml" ds:itemID="{583E8905-70C1-4344-B6B4-DFD52FF887E7}"/>
</file>

<file path=customXml/itemProps4.xml><?xml version="1.0" encoding="utf-8"?>
<ds:datastoreItem xmlns:ds="http://schemas.openxmlformats.org/officeDocument/2006/customXml" ds:itemID="{3A6F5C66-6173-46BD-85A2-60C9A9F9C08D}"/>
</file>

<file path=customXml/itemProps5.xml><?xml version="1.0" encoding="utf-8"?>
<ds:datastoreItem xmlns:ds="http://schemas.openxmlformats.org/officeDocument/2006/customXml" ds:itemID="{EE5770CB-179A-43E4-B859-5DC68766C683}"/>
</file>

<file path=customXml/itemProps6.xml><?xml version="1.0" encoding="utf-8"?>
<ds:datastoreItem xmlns:ds="http://schemas.openxmlformats.org/officeDocument/2006/customXml" ds:itemID="{2C42BD54-EAFA-4A1A-A151-066910152BEC}"/>
</file>

<file path=customXml/itemProps7.xml><?xml version="1.0" encoding="utf-8"?>
<ds:datastoreItem xmlns:ds="http://schemas.openxmlformats.org/officeDocument/2006/customXml" ds:itemID="{CBBA8D09-EEA2-46C0-96C0-CB6E6B0326BA}"/>
</file>

<file path=customXml/itemProps8.xml><?xml version="1.0" encoding="utf-8"?>
<ds:datastoreItem xmlns:ds="http://schemas.openxmlformats.org/officeDocument/2006/customXml" ds:itemID="{948FDD8E-528C-429C-BAC2-BFBEFC0270AF}"/>
</file>

<file path=customXml/itemProps9.xml><?xml version="1.0" encoding="utf-8"?>
<ds:datastoreItem xmlns:ds="http://schemas.openxmlformats.org/officeDocument/2006/customXml" ds:itemID="{C9AC5279-84C4-4673-B4F3-BF45B244F8CF}"/>
</file>

<file path=customXml/itemProps10.xml><?xml version="1.0" encoding="utf-8"?>
<ds:datastoreItem xmlns:ds="http://schemas.openxmlformats.org/officeDocument/2006/customXml" ds:itemID="{748B7AF8-6D37-418D-A995-D43C0B5EB271}"/>
</file>

<file path=customXml/itemProps11.xml><?xml version="1.0" encoding="utf-8"?>
<ds:datastoreItem xmlns:ds="http://schemas.openxmlformats.org/officeDocument/2006/customXml" ds:itemID="{6E504C03-CF0B-407D-B606-2F45E4BB7321}"/>
</file>

<file path=customXml/itemProps12.xml><?xml version="1.0" encoding="utf-8"?>
<ds:datastoreItem xmlns:ds="http://schemas.openxmlformats.org/officeDocument/2006/customXml" ds:itemID="{EC057E6B-F1DF-4507-AEAA-9ABD8F38A9E4}"/>
</file>

<file path=customXml/itemProps13.xml><?xml version="1.0" encoding="utf-8"?>
<ds:datastoreItem xmlns:ds="http://schemas.openxmlformats.org/officeDocument/2006/customXml" ds:itemID="{FA08AC69-6AE8-4F47-81C8-FA827C22EA4C}"/>
</file>

<file path=customXml/itemProps14.xml><?xml version="1.0" encoding="utf-8"?>
<ds:datastoreItem xmlns:ds="http://schemas.openxmlformats.org/officeDocument/2006/customXml" ds:itemID="{BDFD8CBC-317C-4BA2-B489-4A08D516E1A4}"/>
</file>

<file path=customXml/itemProps15.xml><?xml version="1.0" encoding="utf-8"?>
<ds:datastoreItem xmlns:ds="http://schemas.openxmlformats.org/officeDocument/2006/customXml" ds:itemID="{CCBBF3AE-751E-4F80-BD05-79DA30BD19CE}"/>
</file>

<file path=customXml/itemProps16.xml><?xml version="1.0" encoding="utf-8"?>
<ds:datastoreItem xmlns:ds="http://schemas.openxmlformats.org/officeDocument/2006/customXml" ds:itemID="{2A589A4A-AD05-492F-B0D9-5BD4A4A5157F}"/>
</file>

<file path=customXml/itemProps17.xml><?xml version="1.0" encoding="utf-8"?>
<ds:datastoreItem xmlns:ds="http://schemas.openxmlformats.org/officeDocument/2006/customXml" ds:itemID="{CB3B4821-5A67-4D64-B35B-078D729CF092}"/>
</file>

<file path=customXml/itemProps18.xml><?xml version="1.0" encoding="utf-8"?>
<ds:datastoreItem xmlns:ds="http://schemas.openxmlformats.org/officeDocument/2006/customXml" ds:itemID="{8D642A7D-3A75-4146-A3D2-B2CC268DC70A}"/>
</file>

<file path=customXml/itemProps19.xml><?xml version="1.0" encoding="utf-8"?>
<ds:datastoreItem xmlns:ds="http://schemas.openxmlformats.org/officeDocument/2006/customXml" ds:itemID="{0946A7E1-185F-4FA9-8B7E-340BE72DA12F}"/>
</file>

<file path=customXml/itemProps20.xml><?xml version="1.0" encoding="utf-8"?>
<ds:datastoreItem xmlns:ds="http://schemas.openxmlformats.org/officeDocument/2006/customXml" ds:itemID="{A0E41871-3B74-4292-8FF4-BECDCB3E58AE}"/>
</file>

<file path=customXml/itemProps21.xml><?xml version="1.0" encoding="utf-8"?>
<ds:datastoreItem xmlns:ds="http://schemas.openxmlformats.org/officeDocument/2006/customXml" ds:itemID="{7729F6A3-B85B-46F2-94C3-677868965C34}"/>
</file>

<file path=customXml/itemProps22.xml><?xml version="1.0" encoding="utf-8"?>
<ds:datastoreItem xmlns:ds="http://schemas.openxmlformats.org/officeDocument/2006/customXml" ds:itemID="{0FE9F604-663A-40DC-A340-EF21DF238573}"/>
</file>

<file path=customXml/itemProps23.xml><?xml version="1.0" encoding="utf-8"?>
<ds:datastoreItem xmlns:ds="http://schemas.openxmlformats.org/officeDocument/2006/customXml" ds:itemID="{F099AC90-3038-463C-8072-B78D37EC0E12}"/>
</file>

<file path=customXml/itemProps24.xml><?xml version="1.0" encoding="utf-8"?>
<ds:datastoreItem xmlns:ds="http://schemas.openxmlformats.org/officeDocument/2006/customXml" ds:itemID="{4EC11641-E929-46AE-B338-7BE100637E04}"/>
</file>

<file path=customXml/itemProps25.xml><?xml version="1.0" encoding="utf-8"?>
<ds:datastoreItem xmlns:ds="http://schemas.openxmlformats.org/officeDocument/2006/customXml" ds:itemID="{05812520-DA0A-48E3-B31D-2EBA213A42B6}"/>
</file>

<file path=customXml/itemProps26.xml><?xml version="1.0" encoding="utf-8"?>
<ds:datastoreItem xmlns:ds="http://schemas.openxmlformats.org/officeDocument/2006/customXml" ds:itemID="{9DCAD3F4-8FD9-463D-B6EA-26179B06B5A2}"/>
</file>

<file path=customXml/itemProps27.xml><?xml version="1.0" encoding="utf-8"?>
<ds:datastoreItem xmlns:ds="http://schemas.openxmlformats.org/officeDocument/2006/customXml" ds:itemID="{44316DEC-5809-4425-8B11-723C9AFF8B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طارق وجيه ممدوح ابوزيد</dc:creator>
  <cp:keywords/>
  <dc:description/>
  <cp:lastModifiedBy>طارق وجيه ممدوح ابوزيد</cp:lastModifiedBy>
  <cp:revision/>
  <dcterms:created xsi:type="dcterms:W3CDTF">2026-02-24T13:03:22Z</dcterms:created>
  <dcterms:modified xsi:type="dcterms:W3CDTF">2026-04-27T16:02:54Z</dcterms:modified>
  <cp:category/>
  <cp:contentStatus/>
</cp:coreProperties>
</file>